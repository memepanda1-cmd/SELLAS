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an\Downloads\"/>
    </mc:Choice>
  </mc:AlternateContent>
  <xr:revisionPtr revIDLastSave="0" documentId="13_ncr:1_{D5B499A5-FA5D-4247-BEF4-7DCFED716F44}" xr6:coauthVersionLast="47" xr6:coauthVersionMax="47" xr10:uidLastSave="{00000000-0000-0000-0000-000000000000}"/>
  <bookViews>
    <workbookView xWindow="6330" yWindow="2310" windowWidth="37800" windowHeight="27855" tabRatio="500" activeTab="4" xr2:uid="{00000000-000D-0000-FFFF-FFFF00000000}"/>
  </bookViews>
  <sheets>
    <sheet name="Enrollment Curve" sheetId="1" r:id="rId1"/>
    <sheet name="Country Allocation" sheetId="2" r:id="rId2"/>
    <sheet name="Constraint Map" sheetId="3" r:id="rId3"/>
    <sheet name="Assumptions &amp; Levers" sheetId="4" r:id="rId4"/>
    <sheet name="Median Scenario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7" i="5" l="1"/>
  <c r="E97" i="5"/>
  <c r="D97" i="5"/>
  <c r="C97" i="5"/>
  <c r="B97" i="5"/>
  <c r="F96" i="5"/>
  <c r="E96" i="5"/>
  <c r="D96" i="5"/>
  <c r="C96" i="5"/>
  <c r="B96" i="5"/>
  <c r="F95" i="5"/>
  <c r="E95" i="5"/>
  <c r="D95" i="5"/>
  <c r="C95" i="5"/>
  <c r="B95" i="5"/>
  <c r="F94" i="5"/>
  <c r="E94" i="5"/>
  <c r="D94" i="5"/>
  <c r="C94" i="5"/>
  <c r="B94" i="5"/>
  <c r="F93" i="5"/>
  <c r="E93" i="5"/>
  <c r="D93" i="5"/>
  <c r="C93" i="5"/>
  <c r="B93" i="5"/>
  <c r="F92" i="5"/>
  <c r="E92" i="5"/>
  <c r="D92" i="5"/>
  <c r="C92" i="5"/>
  <c r="B92" i="5"/>
  <c r="F91" i="5"/>
  <c r="E91" i="5"/>
  <c r="D91" i="5"/>
  <c r="C91" i="5"/>
  <c r="B91" i="5"/>
  <c r="F90" i="5"/>
  <c r="E90" i="5"/>
  <c r="D90" i="5"/>
  <c r="C90" i="5"/>
  <c r="B90" i="5"/>
  <c r="F89" i="5"/>
  <c r="E89" i="5"/>
  <c r="D89" i="5"/>
  <c r="C89" i="5"/>
  <c r="B89" i="5"/>
  <c r="F88" i="5"/>
  <c r="E88" i="5"/>
  <c r="D88" i="5"/>
  <c r="C88" i="5"/>
  <c r="B88" i="5"/>
  <c r="F87" i="5"/>
  <c r="E87" i="5"/>
  <c r="D87" i="5"/>
  <c r="C87" i="5"/>
  <c r="B87" i="5"/>
  <c r="F86" i="5"/>
  <c r="E86" i="5"/>
  <c r="D86" i="5"/>
  <c r="C86" i="5"/>
  <c r="B86" i="5"/>
  <c r="F85" i="5"/>
  <c r="E85" i="5"/>
  <c r="D85" i="5"/>
  <c r="C85" i="5"/>
  <c r="B85" i="5"/>
  <c r="F84" i="5"/>
  <c r="E84" i="5"/>
  <c r="D84" i="5"/>
  <c r="C84" i="5"/>
  <c r="B84" i="5"/>
  <c r="F83" i="5"/>
  <c r="E83" i="5"/>
  <c r="D83" i="5"/>
  <c r="C83" i="5"/>
  <c r="B83" i="5"/>
  <c r="F82" i="5"/>
  <c r="E82" i="5"/>
  <c r="D82" i="5"/>
  <c r="C82" i="5"/>
  <c r="B82" i="5"/>
  <c r="F81" i="5"/>
  <c r="E81" i="5"/>
  <c r="D81" i="5"/>
  <c r="C81" i="5"/>
  <c r="B81" i="5"/>
  <c r="F80" i="5"/>
  <c r="E80" i="5"/>
  <c r="D80" i="5"/>
  <c r="C80" i="5"/>
  <c r="B80" i="5"/>
  <c r="F79" i="5"/>
  <c r="E79" i="5"/>
  <c r="D79" i="5"/>
  <c r="C79" i="5"/>
  <c r="B79" i="5"/>
  <c r="F78" i="5"/>
  <c r="E78" i="5"/>
  <c r="D78" i="5"/>
  <c r="C78" i="5"/>
  <c r="B78" i="5"/>
  <c r="F77" i="5"/>
  <c r="E77" i="5"/>
  <c r="D77" i="5"/>
  <c r="C77" i="5"/>
  <c r="B77" i="5"/>
  <c r="F76" i="5"/>
  <c r="E76" i="5"/>
  <c r="D76" i="5"/>
  <c r="C76" i="5"/>
  <c r="B76" i="5"/>
  <c r="F75" i="5"/>
  <c r="E75" i="5"/>
  <c r="D75" i="5"/>
  <c r="C75" i="5"/>
  <c r="B75" i="5"/>
  <c r="F74" i="5"/>
  <c r="E74" i="5"/>
  <c r="D74" i="5"/>
  <c r="C74" i="5"/>
  <c r="B74" i="5"/>
  <c r="F73" i="5"/>
  <c r="E73" i="5"/>
  <c r="D73" i="5"/>
  <c r="C73" i="5"/>
  <c r="B73" i="5"/>
  <c r="F72" i="5"/>
  <c r="E72" i="5"/>
  <c r="D72" i="5"/>
  <c r="C72" i="5"/>
  <c r="B72" i="5"/>
  <c r="F71" i="5"/>
  <c r="E71" i="5"/>
  <c r="D71" i="5"/>
  <c r="C71" i="5"/>
  <c r="B71" i="5"/>
  <c r="F70" i="5"/>
  <c r="E70" i="5"/>
  <c r="D70" i="5"/>
  <c r="C70" i="5"/>
  <c r="B70" i="5"/>
  <c r="F69" i="5"/>
  <c r="E69" i="5"/>
  <c r="D69" i="5"/>
  <c r="C69" i="5"/>
  <c r="B69" i="5"/>
  <c r="F68" i="5"/>
  <c r="E68" i="5"/>
  <c r="D68" i="5"/>
  <c r="C68" i="5"/>
  <c r="B68" i="5"/>
  <c r="F67" i="5"/>
  <c r="E67" i="5"/>
  <c r="D67" i="5"/>
  <c r="C67" i="5"/>
  <c r="B67" i="5"/>
  <c r="F66" i="5"/>
  <c r="E66" i="5"/>
  <c r="D66" i="5"/>
  <c r="C66" i="5"/>
  <c r="B66" i="5"/>
  <c r="F65" i="5"/>
  <c r="E65" i="5"/>
  <c r="D65" i="5"/>
  <c r="C65" i="5"/>
  <c r="B65" i="5"/>
  <c r="F64" i="5"/>
  <c r="E64" i="5"/>
  <c r="D64" i="5"/>
  <c r="C64" i="5"/>
  <c r="B64" i="5"/>
  <c r="F63" i="5"/>
  <c r="E63" i="5"/>
  <c r="D63" i="5"/>
  <c r="C63" i="5"/>
  <c r="B63" i="5"/>
  <c r="F62" i="5"/>
  <c r="E62" i="5"/>
  <c r="D62" i="5"/>
  <c r="C62" i="5"/>
  <c r="B62" i="5"/>
  <c r="F61" i="5"/>
  <c r="E61" i="5"/>
  <c r="D61" i="5"/>
  <c r="C61" i="5"/>
  <c r="B61" i="5"/>
  <c r="F60" i="5"/>
  <c r="E60" i="5"/>
  <c r="D60" i="5"/>
  <c r="C60" i="5"/>
  <c r="B60" i="5"/>
  <c r="F59" i="5"/>
  <c r="E59" i="5"/>
  <c r="D59" i="5"/>
  <c r="C59" i="5"/>
  <c r="B59" i="5"/>
  <c r="B23" i="2"/>
  <c r="C23" i="2" s="1"/>
  <c r="B22" i="2"/>
  <c r="C22" i="2" s="1"/>
  <c r="B21" i="2"/>
  <c r="B24" i="2" s="1"/>
  <c r="C24" i="2" s="1"/>
  <c r="D16" i="2"/>
  <c r="E16" i="2" s="1"/>
  <c r="C16" i="2"/>
  <c r="E15" i="2"/>
  <c r="E14" i="2"/>
  <c r="E13" i="2"/>
  <c r="E12" i="2"/>
  <c r="E11" i="2"/>
  <c r="E10" i="2"/>
  <c r="E9" i="2"/>
  <c r="E8" i="2"/>
  <c r="E7" i="2"/>
  <c r="E6" i="2"/>
  <c r="E5" i="2"/>
  <c r="D44" i="1"/>
  <c r="C44" i="1"/>
  <c r="B44" i="1"/>
  <c r="E43" i="1"/>
  <c r="F43" i="1" s="1"/>
  <c r="F42" i="1"/>
  <c r="E42" i="1"/>
  <c r="E41" i="1"/>
  <c r="F41" i="1" s="1"/>
  <c r="E40" i="1"/>
  <c r="F40" i="1" s="1"/>
  <c r="E39" i="1"/>
  <c r="F39" i="1" s="1"/>
  <c r="E38" i="1"/>
  <c r="F38" i="1" s="1"/>
  <c r="F37" i="1"/>
  <c r="E37" i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F30" i="1"/>
  <c r="E30" i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F22" i="1"/>
  <c r="E22" i="1"/>
  <c r="E21" i="1"/>
  <c r="F21" i="1" s="1"/>
  <c r="E20" i="1"/>
  <c r="F20" i="1" s="1"/>
  <c r="E19" i="1"/>
  <c r="F19" i="1" s="1"/>
  <c r="F18" i="1"/>
  <c r="E18" i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F10" i="1"/>
  <c r="E10" i="1"/>
  <c r="E9" i="1"/>
  <c r="F9" i="1" s="1"/>
  <c r="E8" i="1"/>
  <c r="F8" i="1" s="1"/>
  <c r="E7" i="1"/>
  <c r="F7" i="1" s="1"/>
  <c r="F6" i="1"/>
  <c r="E6" i="1"/>
  <c r="E5" i="1"/>
  <c r="F5" i="1" s="1"/>
  <c r="F44" i="1" l="1"/>
  <c r="C21" i="2"/>
  <c r="E44" i="1"/>
</calcChain>
</file>

<file path=xl/sharedStrings.xml><?xml version="1.0" encoding="utf-8"?>
<sst xmlns="http://schemas.openxmlformats.org/spreadsheetml/2006/main" count="227" uniqueCount="202">
  <si>
    <t>SELLAS REGAL (Phase 3 GPS in AML CR2) — Modeled Enrollment Curve</t>
  </si>
  <si>
    <t>Monthly cumulative enrollment, Feb 2021 – Apr 2024 (127 patients). Regional cumulatives are the model inputs (blue); Total and Monthly accrual are derived.</t>
  </si>
  <si>
    <t>Month-end</t>
  </si>
  <si>
    <t>US (cum)</t>
  </si>
  <si>
    <t>Europe (cum)</t>
  </si>
  <si>
    <t>Asia (cum)</t>
  </si>
  <si>
    <t>Total (cum)</t>
  </si>
  <si>
    <t>Monthly accrual</t>
  </si>
  <si>
    <t>Milestone / driver</t>
  </si>
  <si>
    <t>First patient enrolled Feb 8, 2021 (U.S. — only country open).</t>
  </si>
  <si>
    <t>France opens (Sep 3, 2021). COVID severely suppressing accrual.</t>
  </si>
  <si>
    <t>Germany opens (Feb 14, 2022).</t>
  </si>
  <si>
    <t>Greece opens (Mar 23, 2022).</t>
  </si>
  <si>
    <t>India opens (Oct 20, 2022).</t>
  </si>
  <si>
    <t>Spain opens (Nov 23, 2022).</t>
  </si>
  <si>
    <t>Taiwan enrolling in H1 2023 (approved Q3 2021).</t>
  </si>
  <si>
    <t>IDMC risk-benefit review praises enrollment rate &amp; study conduct.</t>
  </si>
  <si>
    <t>Oct 12: 'close to completion; already sufficient for pre-specified analyses.'</t>
  </si>
  <si>
    <t>Nov 29: ex-China target (~105) reached, &gt;100 enrolled. 3DMed China (~20-25) did not materialize.</t>
  </si>
  <si>
    <t>Q4 2023: reached &amp; exceeded 105 ex-China; continuing to backfill missing China patients.</t>
  </si>
  <si>
    <t>~123 enrolled as of Mar 1, 2024 (added constraint).</t>
  </si>
  <si>
    <t>126 reached — full SAP enrollment (Q1 2024).</t>
  </si>
  <si>
    <t>Enrollment closed Apr 8, 2024 — 127 total (1 patient in April).</t>
  </si>
  <si>
    <t>Final</t>
  </si>
  <si>
    <t>Total accrual should equal final cumulative = 127</t>
  </si>
  <si>
    <t>Final Country Allocation (127 patients)</t>
  </si>
  <si>
    <t>Patient counts are modeled to satisfy: top-3 = US&gt;Greece&gt;India; US+Europe ≈ 75%; ≥1 patient/site; ranking &amp; approval-date constraints.</t>
  </si>
  <si>
    <t>Country</t>
  </si>
  <si>
    <t>Region</t>
  </si>
  <si>
    <t>Sites</t>
  </si>
  <si>
    <t>Patients</t>
  </si>
  <si>
    <t>Pts / site</t>
  </si>
  <si>
    <t>First enrollment / status</t>
  </si>
  <si>
    <t>United States</t>
  </si>
  <si>
    <t>US</t>
  </si>
  <si>
    <t>Greece</t>
  </si>
  <si>
    <t>Europe</t>
  </si>
  <si>
    <t>Mar 23, 2022 — #2 enroller; sponsor fielded all 10 major Greek academic hospitals (Greek-led bias)</t>
  </si>
  <si>
    <t>India</t>
  </si>
  <si>
    <t>Asia</t>
  </si>
  <si>
    <t>Oct 20, 2022 — #3 enroller; AIIMS New Delhi anchors; regional centers (Patna, Kannur) near floor (3.6/site avg)</t>
  </si>
  <si>
    <t>Taiwan</t>
  </si>
  <si>
    <t>Enrolling H1 2023; 5 strong academic centers (NTUH, NCKU, Taichung VGH, KMUH, Changhua) — held down by Asia≈25%, not site quality</t>
  </si>
  <si>
    <t>Poland</t>
  </si>
  <si>
    <t>Approved Sep 23, 2021; national hematology institute + university hospitals — possibly under-floored at 1/site</t>
  </si>
  <si>
    <t>France</t>
  </si>
  <si>
    <t>Sep 3, 2021 (early open); strong academics (Gustave Roussy, Saint-Antoine, Lyon Sud) but trimmed to floor as US absorbed more China backfill</t>
  </si>
  <si>
    <t>Spain</t>
  </si>
  <si>
    <t>Nov 23, 2022 — late open; modeled at 1/site floor</t>
  </si>
  <si>
    <t>Germany</t>
  </si>
  <si>
    <t>Feb 14, 2022; only 3 sites in a large country — low priority, at floor</t>
  </si>
  <si>
    <t>Hungary</t>
  </si>
  <si>
    <t>Approved Jul 29, 2021 — no accrual data; floor</t>
  </si>
  <si>
    <t>Serbia</t>
  </si>
  <si>
    <t>Approved May 20, 2022 — no accrual data; floor</t>
  </si>
  <si>
    <t>Italy</t>
  </si>
  <si>
    <t>TOTAL</t>
  </si>
  <si>
    <t>Region check</t>
  </si>
  <si>
    <t>% of total</t>
  </si>
  <si>
    <t>US + Europe</t>
  </si>
  <si>
    <t>Constraint 21 target ≈ 75%  ·  Constraint 20: US &gt; Greece &gt; India  ·  China = 0</t>
  </si>
  <si>
    <t>How each of the 25 constraints is reflected in the model</t>
  </si>
  <si>
    <t>#</t>
  </si>
  <si>
    <t>Constraint</t>
  </si>
  <si>
    <t>Reflected in model</t>
  </si>
  <si>
    <t>1</t>
  </si>
  <si>
    <t>First patient Feb 8, 2021</t>
  </si>
  <si>
    <t>Curve starts at 1 in Feb-21; attributed to the US (only open country).</t>
  </si>
  <si>
    <t>2</t>
  </si>
  <si>
    <t>126 enrolled by end of Mar 2024</t>
  </si>
  <si>
    <t>Cumulative = 126 at Mar-24.</t>
  </si>
  <si>
    <t>3</t>
  </si>
  <si>
    <t>1 more in April; enrollment closed Apr 8, 2024</t>
  </si>
  <si>
    <t>Apr-24 = 127, then the curve ends.</t>
  </si>
  <si>
    <t>4</t>
  </si>
  <si>
    <t>France enrollment start Sep 3, 2021</t>
  </si>
  <si>
    <t>Europe series turns positive from Sep-21.</t>
  </si>
  <si>
    <t>5</t>
  </si>
  <si>
    <t>Germany enrollment start Feb 14, 2022</t>
  </si>
  <si>
    <t>Europe accrual steps up from Feb-22.</t>
  </si>
  <si>
    <t>6</t>
  </si>
  <si>
    <t>Greece enrollment start Mar 23, 2022</t>
  </si>
  <si>
    <t>Greece (largest EU enroller) ramps from Mar-22.</t>
  </si>
  <si>
    <t>7</t>
  </si>
  <si>
    <t>India enrollment start Oct 20, 2022</t>
  </si>
  <si>
    <t>Asia series turns positive from Oct-22.</t>
  </si>
  <si>
    <t>8</t>
  </si>
  <si>
    <t>Spain enrollment start Nov 23, 2022</t>
  </si>
  <si>
    <t>Europe accrual steps up from Nov-22; Spain modeled near floor (late open).</t>
  </si>
  <si>
    <t>9</t>
  </si>
  <si>
    <t>Taiwan enrolled prior to H2 2023</t>
  </si>
  <si>
    <t>Taiwan modeled live in H1-2023.</t>
  </si>
  <si>
    <t>10</t>
  </si>
  <si>
    <t>Site counts; ≥1 patient per site</t>
  </si>
  <si>
    <t>74 sites total → 74-patient floor; every country ≥ its site count (see Country tab).</t>
  </si>
  <si>
    <t>11</t>
  </si>
  <si>
    <t>Approvals: SRB 5/20/22, POL 9/23/21, HUN 7/29/21, TWN Q3-21</t>
  </si>
  <si>
    <t>No patients modeled in any country before its approval date.</t>
  </si>
  <si>
    <t>12</t>
  </si>
  <si>
    <t>No accrual data for Serbia / Hungary / Poland</t>
  </si>
  <si>
    <t>Modeled at the 1-patient-per-site floor (2 / 3 / 10).</t>
  </si>
  <si>
    <t>13</t>
  </si>
  <si>
    <t>SAP revision (pooled blinded mOS ~2x → 12.5 mo), filed Oct 14, 2022</t>
  </si>
  <si>
    <t>~38 enrolled by Sep-22 — enough follow-up/events to read blinded pooled OS and justify the revision.</t>
  </si>
  <si>
    <t>14</t>
  </si>
  <si>
    <t>Mechanistic, not a dated count. A 2nd reason (besides COVID) for slow pre-Oct-2022 accrual, and it enables the post-revision ramp (broader pool, fewer screen fails). Consistent with the modeled Oct-2022 inflection; does not by itself move the curve. Lever: if read as an immediate accelerant, raise the H1-2023 slope (~+4/mo) — pulls the median toward Apr.</t>
  </si>
  <si>
    <t>15</t>
  </si>
  <si>
    <t>COVID drag through 2021, 2022, H1-2023</t>
  </si>
  <si>
    <t>Slow ramp held to anchors: 12 by end-2021, 38 by Sep-22, 64 by May-23; acceleration only in H2-2023.</t>
  </si>
  <si>
    <t>16</t>
  </si>
  <si>
    <t>Aug 2023: IDMC praised the enrollment rate</t>
  </si>
  <si>
    <t>Accrual accelerating into H2-23; reaches 80 by Aug-23.</t>
  </si>
  <si>
    <t>17</t>
  </si>
  <si>
    <t>Oct 12, 2023: close to completion; analyses already powered</t>
  </si>
  <si>
    <t>Oct-23 = 97; pre-specified interim/final patient counts already met.</t>
  </si>
  <si>
    <t>18</t>
  </si>
  <si>
    <t>Nov 29, 2023: ex-China enrollment target (105) met; China (3DMed) shortfall</t>
  </si>
  <si>
    <t>Nov-23 = 105 — the original ex-China target, reached end-Nov (a hard anchor; overrides smoothing). China (~22 pts via 3DMed) then fell through, so the Q1-2024 sprint backfilled those slots ex-China toward 127.</t>
  </si>
  <si>
    <t>19</t>
  </si>
  <si>
    <t>Q4-2023 reached &amp; exceeded 105 ex-China; push to 126 in Q1-2024</t>
  </si>
  <si>
    <t>Dec-23 = 112 (&gt;105 in Q4); Jan-Mar-24 = 118 / 123 / 126, a smoothly decelerating finish.</t>
  </si>
  <si>
    <t>20</t>
  </si>
  <si>
    <t>123 enrolled as of Mar 1, 2024 (added)</t>
  </si>
  <si>
    <t>Feb-24 cum = 123. Implies +3 across Mar to 126, then +1 to close at 127 — a decelerating finish onto the SAP target.</t>
  </si>
  <si>
    <t>21</t>
  </si>
  <si>
    <t>Jan 23, 2025: median follow-up ~13.5 mo</t>
  </si>
  <si>
    <t>22</t>
  </si>
  <si>
    <t>Top 3 enrollers = US &gt; Greece &gt; India</t>
  </si>
  <si>
    <t>US 38 &gt; Greece 21 &gt; India 18; all others (Taiwan 13 next) below India.</t>
  </si>
  <si>
    <t>23</t>
  </si>
  <si>
    <t>US + Europe ≈ 75% of patients</t>
  </si>
  <si>
    <t>Modeled 96/127 = 75.6%; Asia (India + Taiwan) = 31 = 24.4%.</t>
  </si>
  <si>
    <t>24</t>
  </si>
  <si>
    <t>Planned 50:50 US:ROW; likely skewed to US/Greece after the China shortfall</t>
  </si>
  <si>
    <t>Modeled US = 30% (38 pts), raised from 26% once the real site roster confirmed a strong US network. 50:50 was design intent, not a binding fact, and is impossible alongside US+Europe≈75% + European site floors (US caps at ~40%). Increment drawn from France/Germany (backfill reattributed to US); Asia and US+Europe≈75% held fixed.</t>
  </si>
  <si>
    <t>25</t>
  </si>
  <si>
    <t>73 named sites across 10 countries; Italy (1 site) restored = 74 sites / 11 countries — matches modeled site counts exactly. Roster strength (US: MD Anderson, UCLA, OHSU, Mayo; Taiwan: NTUH, NCKU) supports lifting US to ~30%, and flags Poland (national hematology institute) as possibly under-floored. Caveat: prominence ≠ realized accrual; per-site counts are not public.</t>
  </si>
  <si>
    <t>Key judgment calls &amp; sensitivity levers</t>
  </si>
  <si>
    <t>The total curve is tightly anchored by the dated public statements. Country/region splits are softer — listed levers are where reasonable people could differ.</t>
  </si>
  <si>
    <t>Item</t>
  </si>
  <si>
    <t>Detail</t>
  </si>
  <si>
    <t>Anchored (high confidence)</t>
  </si>
  <si>
    <t>First patient</t>
  </si>
  <si>
    <t>Feb-21 = 1, attributed to US (no other country open until France in Sep-21).</t>
  </si>
  <si>
    <t>Sep-2022 ≈ 38</t>
  </si>
  <si>
    <t>Aug-2023 = 80 / IDMC</t>
  </si>
  <si>
    <t>Acceleration visible by Aug-23 per IDMC comment.</t>
  </si>
  <si>
    <t>Nov-2023 = 105 → Dec-2023 = 110</t>
  </si>
  <si>
    <t>'Reached &amp; exceeded' ex-China target of 105 in Q4-2023.</t>
  </si>
  <si>
    <t>Q1-2024 sprint to 126; close Apr 8</t>
  </si>
  <si>
    <t>Backfill of missing 3DMed China patients.</t>
  </si>
  <si>
    <t>Levers (lower confidence)</t>
  </si>
  <si>
    <t>H1-2023 slope (WT1-eligibility removal)</t>
  </si>
  <si>
    <t>US share of final N</t>
  </si>
  <si>
    <t>Base now 38 (30%), raised from 33/26% after the real site roster showed a strong US network (MD Anderson + ~8 academic centers); per-site 1.9→2.2. Feasible band ≈ 26-40%: to exceed 38 you must trim Greece below 21 or take from Asia. 26% kept as the low end; 40% is the hard ceiling (European floors + US+Europe≈75%).</t>
  </si>
  <si>
    <t>Median enrollment month</t>
  </si>
  <si>
    <t>Greece vs India size</t>
  </si>
  <si>
    <t>Greece 21 vs India 18. Both must sit between US and 4th place. Greek-sponsor bias argues Greece high; can flex ±3 each.</t>
  </si>
  <si>
    <t>Asia = 25%</t>
  </si>
  <si>
    <t>India 18 + Taiwan 13 = 31. If Asia is nearer 28, India≈16/Taiwan≈12. India&gt;Taiwan is forced (India is top-3, Taiwan is not).</t>
  </si>
  <si>
    <t>Floor countries</t>
  </si>
  <si>
    <t>Poland 10 / Hungary 3 / Serbia 2 / Spain 9 / Italy 1 modeled at exactly 1/site given no accrual data + 'many sites low/no accrual.' Any upward flex pulls from US.</t>
  </si>
  <si>
    <t>2021 depth</t>
  </si>
  <si>
    <t>End-2021 = 12 (severe COVID). Range ~8-16; lower 2021 forces a slightly steeper 2022-23.</t>
  </si>
  <si>
    <t>Regional monthly path</t>
  </si>
  <si>
    <t>Month-by-month US/EU/Asia split is illustrative and sums to the (firmer) total each month.</t>
  </si>
  <si>
    <t>Five enrollment curves with April–August 2023 medians</t>
  </si>
  <si>
    <t>All five satisfy every dated anchor and share the SAME country allocation — they differ only in timing. The median = the 64th of 127 patients (highlighted cell = the month each curve first reaches 64). Apr–Jul are the plausible range; the Aug-median curve is a stress test — its surge (~+14/mo) exceeds the trial's plausible capacity and is shown only to bound the late edge.</t>
  </si>
  <si>
    <t>Apr-median</t>
  </si>
  <si>
    <t>May-median (base)</t>
  </si>
  <si>
    <t>Jun-median</t>
  </si>
  <si>
    <t>Jul-median</t>
  </si>
  <si>
    <t>Aug-median (stress)</t>
  </si>
  <si>
    <t>Median (64)</t>
  </si>
  <si>
    <t>Scenario summary (front-loaded -&gt; back-loaded)</t>
  </si>
  <si>
    <t>Scenario</t>
  </si>
  <si>
    <t>Median month</t>
  </si>
  <si>
    <t>Sep-2022</t>
  </si>
  <si>
    <t>Oct-2023</t>
  </si>
  <si>
    <t>Peak accrual/mo</t>
  </si>
  <si>
    <t>Apr 2023</t>
  </si>
  <si>
    <t>+8</t>
  </si>
  <si>
    <t>May 2023</t>
  </si>
  <si>
    <t>+9</t>
  </si>
  <si>
    <t>Jun 2023</t>
  </si>
  <si>
    <t>+10</t>
  </si>
  <si>
    <t>Jul 2023</t>
  </si>
  <si>
    <t>+11</t>
  </si>
  <si>
    <t>Aug 2023</t>
  </si>
  <si>
    <t>+14</t>
  </si>
  <si>
    <t>Sep-2022 spans 28-43 (all ≥ the ~28 that supports the SAP revision); Oct-2023 ≈ 91-98 satisfies 'close to completion'; all reach the ex-China target of 105 at end-Nov 2023, hit 123 on Mar 1, 2024, and close at 127.</t>
  </si>
  <si>
    <t>Monthly accrual by scenario (patients / month)</t>
  </si>
  <si>
    <t>First differences of the cumulative curves above. All five share the same shape — the gentle 2021-22 build, the Dec-2022/Jan-2023 winter dip, a single surge to the peak, and the common decelerating finish. They differ only in timing: a later median forces a lower Sep-2022 and a steeper H2-2023 surge (peak ≈ +8/mo for Apr up to ≈ +14/mo for the Aug stress case).</t>
  </si>
  <si>
    <t>Floor needed to justify the blinded pooled-OS SAP revision filed Oct 14, 2022. Could be as low as ~30. Slow pre-Oct-2022 accrual is doubly explained: COVID + the (then-active) WT1-expression/IRS eligibility gate.</t>
  </si>
  <si>
    <t>Oct-2022 SAP revision removed the WT1-expression (IRS) requirement,  an enrollment accelerant. Modeled H1-2023 at ~+2-3/mo (COVID dominant). If eligibility-broadening is weighted higher, hold ~+4/mo through H1-2023; this pulls the median from May toward Apr. Does NOT move the max plausible median (still Jul) or the late wall.</t>
  </si>
  <si>
    <t>Base curve crosses the 64th patient in May 2023. See the 'Median Scenarios' tab for Apr/May/Jun/Jul-median versions (same allocation, different timing), peak ~+8/mo for Apr up to ~+11/mo for Jul. Jul is the latest plausible median. The Aug-median curve is a STRESS TEST: reaching 64 only in Aug then 105 by end-Nov forces ~+14/mo in Sep-Nov, roughly 3x the trial's pre-surge pace and ~50% above any rate it ever demonstrates, beyond plausible site capacity, shown to bound the late edge.</t>
  </si>
  <si>
    <t>Single site; floor</t>
  </si>
  <si>
    <t>Feb 8, 2021 — first patient; strong roster (MD Anderson, UCLA, OHSU, Mayo, Cleveland UH, Northwell, Rush...)</t>
  </si>
  <si>
    <t>SAP revision filed Oct 14, 2022: blinded pooled mOS re-set to ~12.5 (~2x), AND WT1-expression (IRS) eligibility requirement removed — broadening the pool and removing WT1 screening gate.</t>
  </si>
  <si>
    <t>Consistent with back-loaded accrual + high AML mortality (simple follow-up rather than reverse-KM); not used to over-fit the curve.</t>
  </si>
  <si>
    <t xml:space="preserve">ClinicalTrials.gov site roster </t>
  </si>
  <si>
    <t>SAP revision also removed the WT1-expression (IRS) eligibility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</si>
</sst>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\-"/>
    <numFmt numFmtId="165" formatCode="0.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AEFF7"/>
      </patternFill>
    </fill>
    <fill>
      <patternFill patternType="solid">
        <fgColor rgb="FFEAEFF7"/>
        <bgColor rgb="FFFFFFFF"/>
      </patternFill>
    </fill>
    <fill>
      <patternFill patternType="solid">
        <fgColor rgb="FFD6DCE5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17" fontId="4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17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/>
    <xf numFmtId="3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3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3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008080"/>
      <rgbColor rgb="FFBFBFBF"/>
      <rgbColor rgb="FF878787"/>
      <rgbColor rgb="FF9999FF"/>
      <rgbColor rgb="FF993366"/>
      <rgbColor rgb="FFFFF2CC"/>
      <rgbColor rgb="FFEAEFF7"/>
      <rgbColor rgb="FF660066"/>
      <rgbColor rgb="FFD85A30"/>
      <rgbColor rgb="FF185FA5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DC3E6"/>
      <rgbColor rgb="FFFF99CC"/>
      <rgbColor rgb="FFCC99FF"/>
      <rgbColor rgb="FFFFCC99"/>
      <rgbColor rgb="FF4472C4"/>
      <rgbColor rgb="FF33CCCC"/>
      <rgbColor rgb="FF70AD47"/>
      <rgbColor rgb="FFFFCC00"/>
      <rgbColor rgb="FFEF9F27"/>
      <rgbColor rgb="FFED7D31"/>
      <rgbColor rgb="FF595959"/>
      <rgbColor rgb="FFA6A6A6"/>
      <rgbColor rgb="FF1F3864"/>
      <rgbColor rgb="FF1D9E7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REGAL Cumulative Enrollment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'Enrollment Curve'!$B$4</c:f>
              <c:strCache>
                <c:ptCount val="1"/>
                <c:pt idx="0">
                  <c:v>US (cum)</c:v>
                </c:pt>
              </c:strCache>
            </c:strRef>
          </c:tx>
          <c:spPr>
            <a:ln w="1404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'Enrollment Curve'!$A$5:$A$43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'Enrollment Curve'!$B$5:$B$43</c:f>
              <c:numCache>
                <c:formatCode>#,##0;\-#,##0;\-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32</c:v>
                </c:pt>
                <c:pt idx="33">
                  <c:v>34</c:v>
                </c:pt>
                <c:pt idx="34">
                  <c:v>35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8-4DF7-8526-422AF0C6982B}"/>
            </c:ext>
          </c:extLst>
        </c:ser>
        <c:ser>
          <c:idx val="1"/>
          <c:order val="1"/>
          <c:tx>
            <c:strRef>
              <c:f>'Enrollment Curve'!$C$4</c:f>
              <c:strCache>
                <c:ptCount val="1"/>
                <c:pt idx="0">
                  <c:v>Europe (cum)</c:v>
                </c:pt>
              </c:strCache>
            </c:strRef>
          </c:tx>
          <c:spPr>
            <a:ln w="140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'Enrollment Curve'!$A$5:$A$43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'Enrollment Curve'!$C$5:$C$43</c:f>
              <c:numCache>
                <c:formatCode>#,##0;\-#,##0;\-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7</c:v>
                </c:pt>
                <c:pt idx="14">
                  <c:v>9</c:v>
                </c:pt>
                <c:pt idx="15">
                  <c:v>11</c:v>
                </c:pt>
                <c:pt idx="16">
                  <c:v>13</c:v>
                </c:pt>
                <c:pt idx="17">
                  <c:v>15</c:v>
                </c:pt>
                <c:pt idx="18">
                  <c:v>17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27</c:v>
                </c:pt>
                <c:pt idx="25">
                  <c:v>28</c:v>
                </c:pt>
                <c:pt idx="26">
                  <c:v>30</c:v>
                </c:pt>
                <c:pt idx="27">
                  <c:v>32</c:v>
                </c:pt>
                <c:pt idx="28">
                  <c:v>35</c:v>
                </c:pt>
                <c:pt idx="29">
                  <c:v>37</c:v>
                </c:pt>
                <c:pt idx="30">
                  <c:v>40</c:v>
                </c:pt>
                <c:pt idx="31">
                  <c:v>44</c:v>
                </c:pt>
                <c:pt idx="32">
                  <c:v>47</c:v>
                </c:pt>
                <c:pt idx="33">
                  <c:v>49</c:v>
                </c:pt>
                <c:pt idx="34">
                  <c:v>52</c:v>
                </c:pt>
                <c:pt idx="35">
                  <c:v>56</c:v>
                </c:pt>
                <c:pt idx="36">
                  <c:v>58</c:v>
                </c:pt>
                <c:pt idx="37">
                  <c:v>58</c:v>
                </c:pt>
                <c:pt idx="38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8-4DF7-8526-422AF0C6982B}"/>
            </c:ext>
          </c:extLst>
        </c:ser>
        <c:ser>
          <c:idx val="2"/>
          <c:order val="2"/>
          <c:tx>
            <c:strRef>
              <c:f>'Enrollment Curve'!$D$4</c:f>
              <c:strCache>
                <c:ptCount val="1"/>
                <c:pt idx="0">
                  <c:v>Asia (cum)</c:v>
                </c:pt>
              </c:strCache>
            </c:strRef>
          </c:tx>
          <c:spPr>
            <a:ln w="140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'Enrollment Curve'!$A$5:$A$43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'Enrollment Curve'!$D$5:$D$43</c:f>
              <c:numCache>
                <c:formatCode>#,##0;\-#,##0;\-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11</c:v>
                </c:pt>
                <c:pt idx="31">
                  <c:v>14</c:v>
                </c:pt>
                <c:pt idx="32">
                  <c:v>18</c:v>
                </c:pt>
                <c:pt idx="33">
                  <c:v>22</c:v>
                </c:pt>
                <c:pt idx="34">
                  <c:v>25</c:v>
                </c:pt>
                <c:pt idx="35">
                  <c:v>27</c:v>
                </c:pt>
                <c:pt idx="36">
                  <c:v>29</c:v>
                </c:pt>
                <c:pt idx="37">
                  <c:v>31</c:v>
                </c:pt>
                <c:pt idx="3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C8-4DF7-8526-422AF0C6982B}"/>
            </c:ext>
          </c:extLst>
        </c:ser>
        <c:ser>
          <c:idx val="3"/>
          <c:order val="3"/>
          <c:tx>
            <c:strRef>
              <c:f>'Enrollment Curve'!$E$4</c:f>
              <c:strCache>
                <c:ptCount val="1"/>
                <c:pt idx="0">
                  <c:v>Total (cum)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'Enrollment Curve'!$A$5:$A$43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'Enrollment Curve'!$E$5:$E$43</c:f>
              <c:numCache>
                <c:formatCode>#,##0;\-#,##0;\-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19</c:v>
                </c:pt>
                <c:pt idx="14">
                  <c:v>22</c:v>
                </c:pt>
                <c:pt idx="15">
                  <c:v>25</c:v>
                </c:pt>
                <c:pt idx="16">
                  <c:v>28</c:v>
                </c:pt>
                <c:pt idx="17">
                  <c:v>31</c:v>
                </c:pt>
                <c:pt idx="18">
                  <c:v>34</c:v>
                </c:pt>
                <c:pt idx="19">
                  <c:v>38</c:v>
                </c:pt>
                <c:pt idx="20">
                  <c:v>42</c:v>
                </c:pt>
                <c:pt idx="21">
                  <c:v>46</c:v>
                </c:pt>
                <c:pt idx="22">
                  <c:v>48</c:v>
                </c:pt>
                <c:pt idx="23">
                  <c:v>50</c:v>
                </c:pt>
                <c:pt idx="24">
                  <c:v>53</c:v>
                </c:pt>
                <c:pt idx="25">
                  <c:v>56</c:v>
                </c:pt>
                <c:pt idx="26">
                  <c:v>60</c:v>
                </c:pt>
                <c:pt idx="27">
                  <c:v>64</c:v>
                </c:pt>
                <c:pt idx="28">
                  <c:v>69</c:v>
                </c:pt>
                <c:pt idx="29">
                  <c:v>74</c:v>
                </c:pt>
                <c:pt idx="30">
                  <c:v>80</c:v>
                </c:pt>
                <c:pt idx="31">
                  <c:v>88</c:v>
                </c:pt>
                <c:pt idx="32">
                  <c:v>97</c:v>
                </c:pt>
                <c:pt idx="33">
                  <c:v>105</c:v>
                </c:pt>
                <c:pt idx="34">
                  <c:v>112</c:v>
                </c:pt>
                <c:pt idx="35">
                  <c:v>118</c:v>
                </c:pt>
                <c:pt idx="36">
                  <c:v>123</c:v>
                </c:pt>
                <c:pt idx="37">
                  <c:v>126</c:v>
                </c:pt>
                <c:pt idx="38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C8-4DF7-8526-422AF0C69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792032"/>
        <c:axId val="76511387"/>
      </c:lineChart>
      <c:dateAx>
        <c:axId val="8579203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511387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7651138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Patients (cumulative)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920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Accrual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'Enrollment Curve'!$F$4</c:f>
              <c:strCache>
                <c:ptCount val="1"/>
                <c:pt idx="0">
                  <c:v>Monthly accrual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'Enrollment Curve'!$A$5:$A$43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'Enrollment Curve'!$F$5:$F$43</c:f>
              <c:numCache>
                <c:formatCode>#,##0;\-#,##0;\-</c:formatCode>
                <c:ptCount val="3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9-415B-9AAA-8300B908D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21198"/>
        <c:axId val="43025336"/>
      </c:barChart>
      <c:dateAx>
        <c:axId val="2392119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025336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43025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Patients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211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Patients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Allocation'!$D$4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'Country Allocation'!$A$5:$A$15</c:f>
              <c:strCache>
                <c:ptCount val="11"/>
                <c:pt idx="0">
                  <c:v>United States</c:v>
                </c:pt>
                <c:pt idx="1">
                  <c:v>Greece</c:v>
                </c:pt>
                <c:pt idx="2">
                  <c:v>India</c:v>
                </c:pt>
                <c:pt idx="3">
                  <c:v>Taiwan</c:v>
                </c:pt>
                <c:pt idx="4">
                  <c:v>Poland</c:v>
                </c:pt>
                <c:pt idx="5">
                  <c:v>France</c:v>
                </c:pt>
                <c:pt idx="6">
                  <c:v>Spain</c:v>
                </c:pt>
                <c:pt idx="7">
                  <c:v>Germany</c:v>
                </c:pt>
                <c:pt idx="8">
                  <c:v>Hungary</c:v>
                </c:pt>
                <c:pt idx="9">
                  <c:v>Serbia</c:v>
                </c:pt>
                <c:pt idx="10">
                  <c:v>Italy</c:v>
                </c:pt>
              </c:strCache>
            </c:strRef>
          </c:cat>
          <c:val>
            <c:numRef>
              <c:f>'Country Allocation'!$D$5:$D$15</c:f>
              <c:numCache>
                <c:formatCode>General</c:formatCode>
                <c:ptCount val="11"/>
                <c:pt idx="0">
                  <c:v>38</c:v>
                </c:pt>
                <c:pt idx="1">
                  <c:v>21</c:v>
                </c:pt>
                <c:pt idx="2">
                  <c:v>18</c:v>
                </c:pt>
                <c:pt idx="3">
                  <c:v>13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0-4608-93CA-D7614EDDB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1553"/>
        <c:axId val="10822265"/>
      </c:barChart>
      <c:catAx>
        <c:axId val="209115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22265"/>
        <c:crosses val="autoZero"/>
        <c:auto val="1"/>
        <c:lblAlgn val="ctr"/>
        <c:lblOffset val="100"/>
        <c:noMultiLvlLbl val="0"/>
      </c:catAx>
      <c:valAx>
        <c:axId val="108222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115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Cumulative enrollment — five median 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'Median Scenarios'!$B$4</c:f>
              <c:strCache>
                <c:ptCount val="1"/>
                <c:pt idx="0">
                  <c:v>Apr-median</c:v>
                </c:pt>
              </c:strCache>
            </c:strRef>
          </c:tx>
          <c:spPr>
            <a:ln w="11160">
              <a:solidFill>
                <a:srgbClr val="D85A3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Scenarios'!$B$5:$B$43</c:f>
              <c:numCache>
                <c:formatCode>#,##0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18</c:v>
                </c:pt>
                <c:pt idx="13">
                  <c:v>21</c:v>
                </c:pt>
                <c:pt idx="14">
                  <c:v>24</c:v>
                </c:pt>
                <c:pt idx="15">
                  <c:v>27</c:v>
                </c:pt>
                <c:pt idx="16">
                  <c:v>31</c:v>
                </c:pt>
                <c:pt idx="17">
                  <c:v>35</c:v>
                </c:pt>
                <c:pt idx="18">
                  <c:v>39</c:v>
                </c:pt>
                <c:pt idx="19">
                  <c:v>43</c:v>
                </c:pt>
                <c:pt idx="20">
                  <c:v>47</c:v>
                </c:pt>
                <c:pt idx="21">
                  <c:v>51</c:v>
                </c:pt>
                <c:pt idx="22">
                  <c:v>53</c:v>
                </c:pt>
                <c:pt idx="23">
                  <c:v>55</c:v>
                </c:pt>
                <c:pt idx="24">
                  <c:v>58</c:v>
                </c:pt>
                <c:pt idx="25">
                  <c:v>61</c:v>
                </c:pt>
                <c:pt idx="26">
                  <c:v>64</c:v>
                </c:pt>
                <c:pt idx="27">
                  <c:v>68</c:v>
                </c:pt>
                <c:pt idx="28">
                  <c:v>73</c:v>
                </c:pt>
                <c:pt idx="29">
                  <c:v>78</c:v>
                </c:pt>
                <c:pt idx="30">
                  <c:v>83</c:v>
                </c:pt>
                <c:pt idx="31">
                  <c:v>90</c:v>
                </c:pt>
                <c:pt idx="32">
                  <c:v>98</c:v>
                </c:pt>
                <c:pt idx="33">
                  <c:v>105</c:v>
                </c:pt>
                <c:pt idx="34">
                  <c:v>112</c:v>
                </c:pt>
                <c:pt idx="35">
                  <c:v>118</c:v>
                </c:pt>
                <c:pt idx="36">
                  <c:v>123</c:v>
                </c:pt>
                <c:pt idx="37">
                  <c:v>126</c:v>
                </c:pt>
                <c:pt idx="38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11-4252-AE6F-BFCB787DA629}"/>
            </c:ext>
          </c:extLst>
        </c:ser>
        <c:ser>
          <c:idx val="1"/>
          <c:order val="1"/>
          <c:tx>
            <c:strRef>
              <c:f>'Median Scenarios'!$C$4</c:f>
              <c:strCache>
                <c:ptCount val="1"/>
                <c:pt idx="0">
                  <c:v>May-median (base)</c:v>
                </c:pt>
              </c:strCache>
            </c:strRef>
          </c:tx>
          <c:spPr>
            <a:ln w="11160">
              <a:solidFill>
                <a:srgbClr val="EF9F2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Scenarios'!$C$5:$C$43</c:f>
              <c:numCache>
                <c:formatCode>#,##0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19</c:v>
                </c:pt>
                <c:pt idx="14">
                  <c:v>22</c:v>
                </c:pt>
                <c:pt idx="15">
                  <c:v>25</c:v>
                </c:pt>
                <c:pt idx="16">
                  <c:v>28</c:v>
                </c:pt>
                <c:pt idx="17">
                  <c:v>31</c:v>
                </c:pt>
                <c:pt idx="18">
                  <c:v>34</c:v>
                </c:pt>
                <c:pt idx="19">
                  <c:v>38</c:v>
                </c:pt>
                <c:pt idx="20">
                  <c:v>42</c:v>
                </c:pt>
                <c:pt idx="21">
                  <c:v>46</c:v>
                </c:pt>
                <c:pt idx="22">
                  <c:v>48</c:v>
                </c:pt>
                <c:pt idx="23">
                  <c:v>50</c:v>
                </c:pt>
                <c:pt idx="24">
                  <c:v>53</c:v>
                </c:pt>
                <c:pt idx="25">
                  <c:v>56</c:v>
                </c:pt>
                <c:pt idx="26">
                  <c:v>60</c:v>
                </c:pt>
                <c:pt idx="27">
                  <c:v>64</c:v>
                </c:pt>
                <c:pt idx="28">
                  <c:v>69</c:v>
                </c:pt>
                <c:pt idx="29">
                  <c:v>74</c:v>
                </c:pt>
                <c:pt idx="30">
                  <c:v>80</c:v>
                </c:pt>
                <c:pt idx="31">
                  <c:v>88</c:v>
                </c:pt>
                <c:pt idx="32">
                  <c:v>97</c:v>
                </c:pt>
                <c:pt idx="33">
                  <c:v>105</c:v>
                </c:pt>
                <c:pt idx="34">
                  <c:v>112</c:v>
                </c:pt>
                <c:pt idx="35">
                  <c:v>118</c:v>
                </c:pt>
                <c:pt idx="36">
                  <c:v>123</c:v>
                </c:pt>
                <c:pt idx="37">
                  <c:v>126</c:v>
                </c:pt>
                <c:pt idx="38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11-4252-AE6F-BFCB787DA629}"/>
            </c:ext>
          </c:extLst>
        </c:ser>
        <c:ser>
          <c:idx val="2"/>
          <c:order val="2"/>
          <c:tx>
            <c:strRef>
              <c:f>'Median Scenarios'!$D$4</c:f>
              <c:strCache>
                <c:ptCount val="1"/>
                <c:pt idx="0">
                  <c:v>Jun-median</c:v>
                </c:pt>
              </c:strCache>
            </c:strRef>
          </c:tx>
          <c:spPr>
            <a:ln w="11160">
              <a:solidFill>
                <a:srgbClr val="6399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Scenarios'!$D$5:$D$43</c:f>
              <c:numCache>
                <c:formatCode>#,##0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9</c:v>
                </c:pt>
                <c:pt idx="10">
                  <c:v>11</c:v>
                </c:pt>
                <c:pt idx="11">
                  <c:v>13</c:v>
                </c:pt>
                <c:pt idx="12">
                  <c:v>15</c:v>
                </c:pt>
                <c:pt idx="13">
                  <c:v>17</c:v>
                </c:pt>
                <c:pt idx="14">
                  <c:v>20</c:v>
                </c:pt>
                <c:pt idx="15">
                  <c:v>23</c:v>
                </c:pt>
                <c:pt idx="16">
                  <c:v>26</c:v>
                </c:pt>
                <c:pt idx="17">
                  <c:v>29</c:v>
                </c:pt>
                <c:pt idx="18">
                  <c:v>32</c:v>
                </c:pt>
                <c:pt idx="19">
                  <c:v>35</c:v>
                </c:pt>
                <c:pt idx="20">
                  <c:v>39</c:v>
                </c:pt>
                <c:pt idx="21">
                  <c:v>43</c:v>
                </c:pt>
                <c:pt idx="22">
                  <c:v>45</c:v>
                </c:pt>
                <c:pt idx="23">
                  <c:v>47</c:v>
                </c:pt>
                <c:pt idx="24">
                  <c:v>50</c:v>
                </c:pt>
                <c:pt idx="25">
                  <c:v>53</c:v>
                </c:pt>
                <c:pt idx="26">
                  <c:v>56</c:v>
                </c:pt>
                <c:pt idx="27">
                  <c:v>60</c:v>
                </c:pt>
                <c:pt idx="28">
                  <c:v>64</c:v>
                </c:pt>
                <c:pt idx="29">
                  <c:v>70</c:v>
                </c:pt>
                <c:pt idx="30">
                  <c:v>77</c:v>
                </c:pt>
                <c:pt idx="31">
                  <c:v>86</c:v>
                </c:pt>
                <c:pt idx="32">
                  <c:v>96</c:v>
                </c:pt>
                <c:pt idx="33">
                  <c:v>105</c:v>
                </c:pt>
                <c:pt idx="34">
                  <c:v>112</c:v>
                </c:pt>
                <c:pt idx="35">
                  <c:v>118</c:v>
                </c:pt>
                <c:pt idx="36">
                  <c:v>123</c:v>
                </c:pt>
                <c:pt idx="37">
                  <c:v>126</c:v>
                </c:pt>
                <c:pt idx="38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11-4252-AE6F-BFCB787DA629}"/>
            </c:ext>
          </c:extLst>
        </c:ser>
        <c:ser>
          <c:idx val="3"/>
          <c:order val="3"/>
          <c:tx>
            <c:strRef>
              <c:f>'Median Scenarios'!$E$4</c:f>
              <c:strCache>
                <c:ptCount val="1"/>
                <c:pt idx="0">
                  <c:v>Jul-median</c:v>
                </c:pt>
              </c:strCache>
            </c:strRef>
          </c:tx>
          <c:spPr>
            <a:ln w="11160">
              <a:solidFill>
                <a:srgbClr val="1D9E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Scenarios'!$E$5:$E$43</c:f>
              <c:numCache>
                <c:formatCode>#,##0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11</c:v>
                </c:pt>
                <c:pt idx="12">
                  <c:v>13</c:v>
                </c:pt>
                <c:pt idx="13">
                  <c:v>15</c:v>
                </c:pt>
                <c:pt idx="14">
                  <c:v>17</c:v>
                </c:pt>
                <c:pt idx="15">
                  <c:v>19</c:v>
                </c:pt>
                <c:pt idx="16">
                  <c:v>22</c:v>
                </c:pt>
                <c:pt idx="17">
                  <c:v>25</c:v>
                </c:pt>
                <c:pt idx="18">
                  <c:v>28</c:v>
                </c:pt>
                <c:pt idx="19">
                  <c:v>31</c:v>
                </c:pt>
                <c:pt idx="20">
                  <c:v>35</c:v>
                </c:pt>
                <c:pt idx="21">
                  <c:v>39</c:v>
                </c:pt>
                <c:pt idx="22">
                  <c:v>41</c:v>
                </c:pt>
                <c:pt idx="23">
                  <c:v>43</c:v>
                </c:pt>
                <c:pt idx="24">
                  <c:v>46</c:v>
                </c:pt>
                <c:pt idx="25">
                  <c:v>49</c:v>
                </c:pt>
                <c:pt idx="26">
                  <c:v>52</c:v>
                </c:pt>
                <c:pt idx="27">
                  <c:v>56</c:v>
                </c:pt>
                <c:pt idx="28">
                  <c:v>60</c:v>
                </c:pt>
                <c:pt idx="29">
                  <c:v>64</c:v>
                </c:pt>
                <c:pt idx="30">
                  <c:v>74</c:v>
                </c:pt>
                <c:pt idx="31">
                  <c:v>84</c:v>
                </c:pt>
                <c:pt idx="32">
                  <c:v>95</c:v>
                </c:pt>
                <c:pt idx="33">
                  <c:v>105</c:v>
                </c:pt>
                <c:pt idx="34">
                  <c:v>112</c:v>
                </c:pt>
                <c:pt idx="35">
                  <c:v>118</c:v>
                </c:pt>
                <c:pt idx="36">
                  <c:v>123</c:v>
                </c:pt>
                <c:pt idx="37">
                  <c:v>126</c:v>
                </c:pt>
                <c:pt idx="38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11-4252-AE6F-BFCB787DA629}"/>
            </c:ext>
          </c:extLst>
        </c:ser>
        <c:ser>
          <c:idx val="4"/>
          <c:order val="4"/>
          <c:tx>
            <c:strRef>
              <c:f>'Median Scenarios'!$F$4</c:f>
              <c:strCache>
                <c:ptCount val="1"/>
                <c:pt idx="0">
                  <c:v>Aug-median (stress)</c:v>
                </c:pt>
              </c:strCache>
            </c:strRef>
          </c:tx>
          <c:spPr>
            <a:ln w="11160">
              <a:solidFill>
                <a:srgbClr val="185F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Scenarios'!$F$5:$F$43</c:f>
              <c:numCache>
                <c:formatCode>#,##0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  <c:pt idx="14">
                  <c:v>16</c:v>
                </c:pt>
                <c:pt idx="15">
                  <c:v>18</c:v>
                </c:pt>
                <c:pt idx="16">
                  <c:v>20</c:v>
                </c:pt>
                <c:pt idx="17">
                  <c:v>22</c:v>
                </c:pt>
                <c:pt idx="18">
                  <c:v>25</c:v>
                </c:pt>
                <c:pt idx="19">
                  <c:v>28</c:v>
                </c:pt>
                <c:pt idx="20">
                  <c:v>32</c:v>
                </c:pt>
                <c:pt idx="21">
                  <c:v>36</c:v>
                </c:pt>
                <c:pt idx="22">
                  <c:v>38</c:v>
                </c:pt>
                <c:pt idx="23">
                  <c:v>40</c:v>
                </c:pt>
                <c:pt idx="24">
                  <c:v>43</c:v>
                </c:pt>
                <c:pt idx="25">
                  <c:v>46</c:v>
                </c:pt>
                <c:pt idx="26">
                  <c:v>49</c:v>
                </c:pt>
                <c:pt idx="27">
                  <c:v>52</c:v>
                </c:pt>
                <c:pt idx="28">
                  <c:v>56</c:v>
                </c:pt>
                <c:pt idx="29">
                  <c:v>60</c:v>
                </c:pt>
                <c:pt idx="30">
                  <c:v>64</c:v>
                </c:pt>
                <c:pt idx="31">
                  <c:v>77</c:v>
                </c:pt>
                <c:pt idx="32">
                  <c:v>91</c:v>
                </c:pt>
                <c:pt idx="33">
                  <c:v>105</c:v>
                </c:pt>
                <c:pt idx="34">
                  <c:v>112</c:v>
                </c:pt>
                <c:pt idx="35">
                  <c:v>118</c:v>
                </c:pt>
                <c:pt idx="36">
                  <c:v>123</c:v>
                </c:pt>
                <c:pt idx="37">
                  <c:v>126</c:v>
                </c:pt>
                <c:pt idx="38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11-4252-AE6F-BFCB787DA629}"/>
            </c:ext>
          </c:extLst>
        </c:ser>
        <c:ser>
          <c:idx val="5"/>
          <c:order val="5"/>
          <c:tx>
            <c:strRef>
              <c:f>'Median Scenarios'!$G$4</c:f>
              <c:strCache>
                <c:ptCount val="1"/>
                <c:pt idx="0">
                  <c:v>Median (64)</c:v>
                </c:pt>
              </c:strCache>
            </c:strRef>
          </c:tx>
          <c:spPr>
            <a:ln w="684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Scenarios'!$A$5:$A$43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Scenarios'!$G$5:$G$43</c:f>
              <c:numCache>
                <c:formatCode>#,##0</c:formatCode>
                <c:ptCount val="39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64</c:v>
                </c:pt>
                <c:pt idx="20">
                  <c:v>64</c:v>
                </c:pt>
                <c:pt idx="21">
                  <c:v>64</c:v>
                </c:pt>
                <c:pt idx="22">
                  <c:v>64</c:v>
                </c:pt>
                <c:pt idx="23">
                  <c:v>64</c:v>
                </c:pt>
                <c:pt idx="24">
                  <c:v>64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64</c:v>
                </c:pt>
                <c:pt idx="34">
                  <c:v>64</c:v>
                </c:pt>
                <c:pt idx="35">
                  <c:v>64</c:v>
                </c:pt>
                <c:pt idx="36">
                  <c:v>64</c:v>
                </c:pt>
                <c:pt idx="37">
                  <c:v>64</c:v>
                </c:pt>
                <c:pt idx="38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11-4252-AE6F-BFCB787DA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295953"/>
        <c:axId val="10565786"/>
      </c:lineChart>
      <c:dateAx>
        <c:axId val="7829595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65786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1056578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Patients (cumulative)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295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Apr-median — monthly accrual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'Median Scenarios'!$B$58</c:f>
              <c:strCache>
                <c:ptCount val="1"/>
                <c:pt idx="0">
                  <c:v>Apr-median</c:v>
                </c:pt>
              </c:strCache>
            </c:strRef>
          </c:tx>
          <c:spPr>
            <a:solidFill>
              <a:srgbClr val="D85A3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Scenarios'!$A$59:$A$97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Scenarios'!$B$59:$B$97</c:f>
              <c:numCache>
                <c:formatCode>#,##0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7</c:v>
                </c:pt>
                <c:pt idx="32">
                  <c:v>8</c:v>
                </c:pt>
                <c:pt idx="33">
                  <c:v>7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7-4E01-A9D1-058D33A46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454559"/>
        <c:axId val="29298084"/>
      </c:barChart>
      <c:dateAx>
        <c:axId val="9445455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98084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292980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Patients / mo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4545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May-median (base) — monthly accrual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'Median Scenarios'!$C$58</c:f>
              <c:strCache>
                <c:ptCount val="1"/>
                <c:pt idx="0">
                  <c:v>May-median (base)</c:v>
                </c:pt>
              </c:strCache>
            </c:strRef>
          </c:tx>
          <c:spPr>
            <a:solidFill>
              <a:srgbClr val="EF9F2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Scenarios'!$A$59:$A$97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Scenarios'!$C$59:$C$97</c:f>
              <c:numCache>
                <c:formatCode>#,##0</c:formatCode>
                <c:ptCount val="3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869-B0FF-5B67867F1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67214"/>
        <c:axId val="84003818"/>
      </c:barChart>
      <c:dateAx>
        <c:axId val="2206721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003818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840038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Patients / mo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672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Jun-median — monthly accrual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'Median Scenarios'!$D$58</c:f>
              <c:strCache>
                <c:ptCount val="1"/>
                <c:pt idx="0">
                  <c:v>Jun-median</c:v>
                </c:pt>
              </c:strCache>
            </c:strRef>
          </c:tx>
          <c:spPr>
            <a:solidFill>
              <a:srgbClr val="63992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Scenarios'!$A$59:$A$97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Scenarios'!$D$59:$D$97</c:f>
              <c:numCache>
                <c:formatCode>#,##0</c:formatCode>
                <c:ptCount val="3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6</c:v>
                </c:pt>
                <c:pt idx="30">
                  <c:v>7</c:v>
                </c:pt>
                <c:pt idx="31">
                  <c:v>9</c:v>
                </c:pt>
                <c:pt idx="32">
                  <c:v>10</c:v>
                </c:pt>
                <c:pt idx="33">
                  <c:v>9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B-477C-B660-49E098760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872058"/>
        <c:axId val="94205553"/>
      </c:barChart>
      <c:dateAx>
        <c:axId val="5687205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05553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9420555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Patients / mo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8720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Jul-median — monthly accrual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'Median Scenarios'!$E$58</c:f>
              <c:strCache>
                <c:ptCount val="1"/>
                <c:pt idx="0">
                  <c:v>Jul-median</c:v>
                </c:pt>
              </c:strCache>
            </c:strRef>
          </c:tx>
          <c:spPr>
            <a:solidFill>
              <a:srgbClr val="1D9E7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Scenarios'!$A$59:$A$97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Scenarios'!$E$59:$E$97</c:f>
              <c:numCache>
                <c:formatCode>#,##0</c:formatCode>
                <c:ptCount val="3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  <c:pt idx="33">
                  <c:v>10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5-4ACF-A7E3-A45A61961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31396"/>
        <c:axId val="81112829"/>
      </c:barChart>
      <c:dateAx>
        <c:axId val="2183139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12829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8111282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Patients / mo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313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Aug-median (stress) — monthly accrual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'Median Scenarios'!$F$58</c:f>
              <c:strCache>
                <c:ptCount val="1"/>
                <c:pt idx="0">
                  <c:v>Aug-median (stress)</c:v>
                </c:pt>
              </c:strCache>
            </c:strRef>
          </c:tx>
          <c:spPr>
            <a:solidFill>
              <a:srgbClr val="185F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'Median Scenarios'!$A$59:$A$97</c:f>
              <c:numCache>
                <c:formatCode>mmm\-yy</c:formatCode>
                <c:ptCount val="39"/>
                <c:pt idx="0">
                  <c:v>44255</c:v>
                </c:pt>
                <c:pt idx="1">
                  <c:v>44286</c:v>
                </c:pt>
                <c:pt idx="2">
                  <c:v>44316</c:v>
                </c:pt>
                <c:pt idx="3">
                  <c:v>44347</c:v>
                </c:pt>
                <c:pt idx="4">
                  <c:v>44377</c:v>
                </c:pt>
                <c:pt idx="5">
                  <c:v>44408</c:v>
                </c:pt>
                <c:pt idx="6">
                  <c:v>44439</c:v>
                </c:pt>
                <c:pt idx="7">
                  <c:v>44469</c:v>
                </c:pt>
                <c:pt idx="8">
                  <c:v>44500</c:v>
                </c:pt>
                <c:pt idx="9">
                  <c:v>44530</c:v>
                </c:pt>
                <c:pt idx="10">
                  <c:v>44561</c:v>
                </c:pt>
                <c:pt idx="11">
                  <c:v>44592</c:v>
                </c:pt>
                <c:pt idx="12">
                  <c:v>44620</c:v>
                </c:pt>
                <c:pt idx="13">
                  <c:v>44651</c:v>
                </c:pt>
                <c:pt idx="14">
                  <c:v>44681</c:v>
                </c:pt>
                <c:pt idx="15">
                  <c:v>44712</c:v>
                </c:pt>
                <c:pt idx="16">
                  <c:v>44742</c:v>
                </c:pt>
                <c:pt idx="17">
                  <c:v>44773</c:v>
                </c:pt>
                <c:pt idx="18">
                  <c:v>44804</c:v>
                </c:pt>
                <c:pt idx="19">
                  <c:v>44834</c:v>
                </c:pt>
                <c:pt idx="20">
                  <c:v>44865</c:v>
                </c:pt>
                <c:pt idx="21">
                  <c:v>44895</c:v>
                </c:pt>
                <c:pt idx="22">
                  <c:v>44926</c:v>
                </c:pt>
                <c:pt idx="23">
                  <c:v>44957</c:v>
                </c:pt>
                <c:pt idx="24">
                  <c:v>44985</c:v>
                </c:pt>
                <c:pt idx="25">
                  <c:v>45016</c:v>
                </c:pt>
                <c:pt idx="26">
                  <c:v>45046</c:v>
                </c:pt>
                <c:pt idx="27">
                  <c:v>45077</c:v>
                </c:pt>
                <c:pt idx="28">
                  <c:v>45107</c:v>
                </c:pt>
                <c:pt idx="29">
                  <c:v>45138</c:v>
                </c:pt>
                <c:pt idx="30">
                  <c:v>45169</c:v>
                </c:pt>
                <c:pt idx="31">
                  <c:v>45199</c:v>
                </c:pt>
                <c:pt idx="32">
                  <c:v>45230</c:v>
                </c:pt>
                <c:pt idx="33">
                  <c:v>45260</c:v>
                </c:pt>
                <c:pt idx="34">
                  <c:v>45291</c:v>
                </c:pt>
                <c:pt idx="35">
                  <c:v>45322</c:v>
                </c:pt>
                <c:pt idx="36">
                  <c:v>45351</c:v>
                </c:pt>
                <c:pt idx="37">
                  <c:v>45382</c:v>
                </c:pt>
                <c:pt idx="38">
                  <c:v>45412</c:v>
                </c:pt>
              </c:numCache>
            </c:numRef>
          </c:cat>
          <c:val>
            <c:numRef>
              <c:f>'Median Scenarios'!$F$59:$F$97</c:f>
              <c:numCache>
                <c:formatCode>#,##0</c:formatCode>
                <c:ptCount val="3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0-42C4-A61F-8F81AE12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13297"/>
        <c:axId val="41911968"/>
      </c:barChart>
      <c:dateAx>
        <c:axId val="1491329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11968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4191196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Patients / mo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913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160920</xdr:rowOff>
    </xdr:from>
    <xdr:to>
      <xdr:col>19</xdr:col>
      <xdr:colOff>473040</xdr:colOff>
      <xdr:row>20</xdr:row>
      <xdr:rowOff>151560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160560</xdr:rowOff>
    </xdr:from>
    <xdr:to>
      <xdr:col>19</xdr:col>
      <xdr:colOff>473040</xdr:colOff>
      <xdr:row>39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14</xdr:col>
      <xdr:colOff>39240</xdr:colOff>
      <xdr:row>17</xdr:row>
      <xdr:rowOff>4961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160920</xdr:rowOff>
    </xdr:from>
    <xdr:to>
      <xdr:col>22</xdr:col>
      <xdr:colOff>78840</xdr:colOff>
      <xdr:row>23</xdr:row>
      <xdr:rowOff>119880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25</xdr:row>
      <xdr:rowOff>160560</xdr:rowOff>
    </xdr:from>
    <xdr:to>
      <xdr:col>15</xdr:col>
      <xdr:colOff>399240</xdr:colOff>
      <xdr:row>39</xdr:row>
      <xdr:rowOff>13320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25</xdr:row>
      <xdr:rowOff>160560</xdr:rowOff>
    </xdr:from>
    <xdr:to>
      <xdr:col>25</xdr:col>
      <xdr:colOff>399240</xdr:colOff>
      <xdr:row>39</xdr:row>
      <xdr:rowOff>13320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41</xdr:row>
      <xdr:rowOff>160560</xdr:rowOff>
    </xdr:from>
    <xdr:to>
      <xdr:col>15</xdr:col>
      <xdr:colOff>399240</xdr:colOff>
      <xdr:row>52</xdr:row>
      <xdr:rowOff>360000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41</xdr:row>
      <xdr:rowOff>160560</xdr:rowOff>
    </xdr:from>
    <xdr:to>
      <xdr:col>25</xdr:col>
      <xdr:colOff>399240</xdr:colOff>
      <xdr:row>52</xdr:row>
      <xdr:rowOff>360000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52</xdr:row>
      <xdr:rowOff>888480</xdr:rowOff>
    </xdr:from>
    <xdr:to>
      <xdr:col>15</xdr:col>
      <xdr:colOff>399240</xdr:colOff>
      <xdr:row>56</xdr:row>
      <xdr:rowOff>694800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showGridLines="0" zoomScale="115" zoomScaleNormal="115" workbookViewId="0">
      <pane ySplit="4" topLeftCell="A5" activePane="bottomLeft" state="frozen"/>
      <selection pane="bottomLeft" activeCell="C63" sqref="C63"/>
    </sheetView>
  </sheetViews>
  <sheetFormatPr defaultColWidth="8.7109375" defaultRowHeight="15" x14ac:dyDescent="0.25"/>
  <cols>
    <col min="1" max="1" width="12" customWidth="1"/>
    <col min="2" max="2" width="11" customWidth="1"/>
    <col min="3" max="3" width="13" customWidth="1"/>
    <col min="4" max="5" width="11" customWidth="1"/>
    <col min="6" max="6" width="15" customWidth="1"/>
    <col min="7" max="7" width="72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>
        <v>44255</v>
      </c>
      <c r="B5" s="5">
        <v>1</v>
      </c>
      <c r="C5" s="5">
        <v>0</v>
      </c>
      <c r="D5" s="5">
        <v>0</v>
      </c>
      <c r="E5" s="6">
        <f t="shared" ref="E5:E43" si="0">B5+C5+D5</f>
        <v>1</v>
      </c>
      <c r="F5" s="6">
        <f>E5</f>
        <v>1</v>
      </c>
      <c r="G5" s="7" t="s">
        <v>9</v>
      </c>
    </row>
    <row r="6" spans="1:7" x14ac:dyDescent="0.25">
      <c r="A6" s="8">
        <v>44286</v>
      </c>
      <c r="B6" s="9">
        <v>1</v>
      </c>
      <c r="C6" s="9">
        <v>0</v>
      </c>
      <c r="D6" s="9">
        <v>0</v>
      </c>
      <c r="E6" s="10">
        <f t="shared" si="0"/>
        <v>1</v>
      </c>
      <c r="F6" s="10">
        <f t="shared" ref="F6:F43" si="1">E6-E5</f>
        <v>0</v>
      </c>
      <c r="G6" s="11"/>
    </row>
    <row r="7" spans="1:7" x14ac:dyDescent="0.25">
      <c r="A7" s="12">
        <v>44316</v>
      </c>
      <c r="B7" s="13">
        <v>2</v>
      </c>
      <c r="C7" s="13">
        <v>0</v>
      </c>
      <c r="D7" s="13">
        <v>0</v>
      </c>
      <c r="E7" s="14">
        <f t="shared" si="0"/>
        <v>2</v>
      </c>
      <c r="F7" s="14">
        <f t="shared" si="1"/>
        <v>1</v>
      </c>
      <c r="G7" s="15"/>
    </row>
    <row r="8" spans="1:7" x14ac:dyDescent="0.25">
      <c r="A8" s="8">
        <v>44347</v>
      </c>
      <c r="B8" s="9">
        <v>3</v>
      </c>
      <c r="C8" s="9">
        <v>0</v>
      </c>
      <c r="D8" s="9">
        <v>0</v>
      </c>
      <c r="E8" s="10">
        <f t="shared" si="0"/>
        <v>3</v>
      </c>
      <c r="F8" s="10">
        <f t="shared" si="1"/>
        <v>1</v>
      </c>
      <c r="G8" s="11"/>
    </row>
    <row r="9" spans="1:7" x14ac:dyDescent="0.25">
      <c r="A9" s="12">
        <v>44377</v>
      </c>
      <c r="B9" s="13">
        <v>4</v>
      </c>
      <c r="C9" s="13">
        <v>0</v>
      </c>
      <c r="D9" s="13">
        <v>0</v>
      </c>
      <c r="E9" s="14">
        <f t="shared" si="0"/>
        <v>4</v>
      </c>
      <c r="F9" s="14">
        <f t="shared" si="1"/>
        <v>1</v>
      </c>
      <c r="G9" s="15"/>
    </row>
    <row r="10" spans="1:7" x14ac:dyDescent="0.25">
      <c r="A10" s="8">
        <v>44408</v>
      </c>
      <c r="B10" s="9">
        <v>5</v>
      </c>
      <c r="C10" s="9">
        <v>0</v>
      </c>
      <c r="D10" s="9">
        <v>0</v>
      </c>
      <c r="E10" s="10">
        <f t="shared" si="0"/>
        <v>5</v>
      </c>
      <c r="F10" s="10">
        <f t="shared" si="1"/>
        <v>1</v>
      </c>
      <c r="G10" s="11"/>
    </row>
    <row r="11" spans="1:7" x14ac:dyDescent="0.25">
      <c r="A11" s="12">
        <v>44439</v>
      </c>
      <c r="B11" s="13">
        <v>6</v>
      </c>
      <c r="C11" s="13">
        <v>0</v>
      </c>
      <c r="D11" s="13">
        <v>0</v>
      </c>
      <c r="E11" s="14">
        <f t="shared" si="0"/>
        <v>6</v>
      </c>
      <c r="F11" s="14">
        <f t="shared" si="1"/>
        <v>1</v>
      </c>
      <c r="G11" s="15"/>
    </row>
    <row r="12" spans="1:7" x14ac:dyDescent="0.25">
      <c r="A12" s="4">
        <v>44469</v>
      </c>
      <c r="B12" s="5">
        <v>6</v>
      </c>
      <c r="C12" s="5">
        <v>1</v>
      </c>
      <c r="D12" s="5">
        <v>0</v>
      </c>
      <c r="E12" s="6">
        <f t="shared" si="0"/>
        <v>7</v>
      </c>
      <c r="F12" s="6">
        <f t="shared" si="1"/>
        <v>1</v>
      </c>
      <c r="G12" s="7" t="s">
        <v>10</v>
      </c>
    </row>
    <row r="13" spans="1:7" x14ac:dyDescent="0.25">
      <c r="A13" s="12">
        <v>44500</v>
      </c>
      <c r="B13" s="13">
        <v>7</v>
      </c>
      <c r="C13" s="13">
        <v>1</v>
      </c>
      <c r="D13" s="13">
        <v>0</v>
      </c>
      <c r="E13" s="14">
        <f t="shared" si="0"/>
        <v>8</v>
      </c>
      <c r="F13" s="14">
        <f t="shared" si="1"/>
        <v>1</v>
      </c>
      <c r="G13" s="15"/>
    </row>
    <row r="14" spans="1:7" x14ac:dyDescent="0.25">
      <c r="A14" s="8">
        <v>44530</v>
      </c>
      <c r="B14" s="9">
        <v>8</v>
      </c>
      <c r="C14" s="9">
        <v>2</v>
      </c>
      <c r="D14" s="9">
        <v>0</v>
      </c>
      <c r="E14" s="10">
        <f t="shared" si="0"/>
        <v>10</v>
      </c>
      <c r="F14" s="10">
        <f t="shared" si="1"/>
        <v>2</v>
      </c>
      <c r="G14" s="11"/>
    </row>
    <row r="15" spans="1:7" x14ac:dyDescent="0.25">
      <c r="A15" s="12">
        <v>44561</v>
      </c>
      <c r="B15" s="13">
        <v>9</v>
      </c>
      <c r="C15" s="13">
        <v>3</v>
      </c>
      <c r="D15" s="13">
        <v>0</v>
      </c>
      <c r="E15" s="14">
        <f t="shared" si="0"/>
        <v>12</v>
      </c>
      <c r="F15" s="14">
        <f t="shared" si="1"/>
        <v>2</v>
      </c>
      <c r="G15" s="15"/>
    </row>
    <row r="16" spans="1:7" x14ac:dyDescent="0.25">
      <c r="A16" s="8">
        <v>44592</v>
      </c>
      <c r="B16" s="9">
        <v>10</v>
      </c>
      <c r="C16" s="9">
        <v>4</v>
      </c>
      <c r="D16" s="9">
        <v>0</v>
      </c>
      <c r="E16" s="10">
        <f t="shared" si="0"/>
        <v>14</v>
      </c>
      <c r="F16" s="10">
        <f t="shared" si="1"/>
        <v>2</v>
      </c>
      <c r="G16" s="11"/>
    </row>
    <row r="17" spans="1:7" x14ac:dyDescent="0.25">
      <c r="A17" s="4">
        <v>44620</v>
      </c>
      <c r="B17" s="5">
        <v>11</v>
      </c>
      <c r="C17" s="5">
        <v>5</v>
      </c>
      <c r="D17" s="5">
        <v>0</v>
      </c>
      <c r="E17" s="6">
        <f t="shared" si="0"/>
        <v>16</v>
      </c>
      <c r="F17" s="6">
        <f t="shared" si="1"/>
        <v>2</v>
      </c>
      <c r="G17" s="7" t="s">
        <v>11</v>
      </c>
    </row>
    <row r="18" spans="1:7" x14ac:dyDescent="0.25">
      <c r="A18" s="4">
        <v>44651</v>
      </c>
      <c r="B18" s="5">
        <v>12</v>
      </c>
      <c r="C18" s="5">
        <v>7</v>
      </c>
      <c r="D18" s="5">
        <v>0</v>
      </c>
      <c r="E18" s="6">
        <f t="shared" si="0"/>
        <v>19</v>
      </c>
      <c r="F18" s="6">
        <f t="shared" si="1"/>
        <v>3</v>
      </c>
      <c r="G18" s="7" t="s">
        <v>12</v>
      </c>
    </row>
    <row r="19" spans="1:7" x14ac:dyDescent="0.25">
      <c r="A19" s="12">
        <v>44681</v>
      </c>
      <c r="B19" s="13">
        <v>13</v>
      </c>
      <c r="C19" s="13">
        <v>9</v>
      </c>
      <c r="D19" s="13">
        <v>0</v>
      </c>
      <c r="E19" s="14">
        <f t="shared" si="0"/>
        <v>22</v>
      </c>
      <c r="F19" s="14">
        <f t="shared" si="1"/>
        <v>3</v>
      </c>
      <c r="G19" s="15"/>
    </row>
    <row r="20" spans="1:7" x14ac:dyDescent="0.25">
      <c r="A20" s="8">
        <v>44712</v>
      </c>
      <c r="B20" s="9">
        <v>14</v>
      </c>
      <c r="C20" s="9">
        <v>11</v>
      </c>
      <c r="D20" s="9">
        <v>0</v>
      </c>
      <c r="E20" s="10">
        <f t="shared" si="0"/>
        <v>25</v>
      </c>
      <c r="F20" s="10">
        <f t="shared" si="1"/>
        <v>3</v>
      </c>
      <c r="G20" s="11"/>
    </row>
    <row r="21" spans="1:7" x14ac:dyDescent="0.25">
      <c r="A21" s="12">
        <v>44742</v>
      </c>
      <c r="B21" s="13">
        <v>15</v>
      </c>
      <c r="C21" s="13">
        <v>13</v>
      </c>
      <c r="D21" s="13">
        <v>0</v>
      </c>
      <c r="E21" s="14">
        <f t="shared" si="0"/>
        <v>28</v>
      </c>
      <c r="F21" s="14">
        <f t="shared" si="1"/>
        <v>3</v>
      </c>
      <c r="G21" s="15"/>
    </row>
    <row r="22" spans="1:7" x14ac:dyDescent="0.25">
      <c r="A22" s="8">
        <v>44773</v>
      </c>
      <c r="B22" s="9">
        <v>16</v>
      </c>
      <c r="C22" s="9">
        <v>15</v>
      </c>
      <c r="D22" s="9">
        <v>0</v>
      </c>
      <c r="E22" s="10">
        <f t="shared" si="0"/>
        <v>31</v>
      </c>
      <c r="F22" s="10">
        <f t="shared" si="1"/>
        <v>3</v>
      </c>
      <c r="G22" s="11"/>
    </row>
    <row r="23" spans="1:7" x14ac:dyDescent="0.25">
      <c r="A23" s="12">
        <v>44804</v>
      </c>
      <c r="B23" s="13">
        <v>17</v>
      </c>
      <c r="C23" s="13">
        <v>17</v>
      </c>
      <c r="D23" s="13">
        <v>0</v>
      </c>
      <c r="E23" s="14">
        <f t="shared" si="0"/>
        <v>34</v>
      </c>
      <c r="F23" s="14">
        <f t="shared" si="1"/>
        <v>3</v>
      </c>
      <c r="G23" s="15"/>
    </row>
    <row r="24" spans="1:7" ht="36" x14ac:dyDescent="0.25">
      <c r="A24" s="4">
        <v>44834</v>
      </c>
      <c r="B24" s="5">
        <v>18</v>
      </c>
      <c r="C24" s="5">
        <v>20</v>
      </c>
      <c r="D24" s="5">
        <v>0</v>
      </c>
      <c r="E24" s="6">
        <f t="shared" si="0"/>
        <v>38</v>
      </c>
      <c r="F24" s="6">
        <f t="shared" si="1"/>
        <v>4</v>
      </c>
      <c r="G24" s="7" t="s">
        <v>198</v>
      </c>
    </row>
    <row r="25" spans="1:7" x14ac:dyDescent="0.25">
      <c r="A25" s="4">
        <v>44865</v>
      </c>
      <c r="B25" s="5">
        <v>19</v>
      </c>
      <c r="C25" s="5">
        <v>22</v>
      </c>
      <c r="D25" s="5">
        <v>1</v>
      </c>
      <c r="E25" s="6">
        <f t="shared" si="0"/>
        <v>42</v>
      </c>
      <c r="F25" s="6">
        <f t="shared" si="1"/>
        <v>4</v>
      </c>
      <c r="G25" s="7" t="s">
        <v>13</v>
      </c>
    </row>
    <row r="26" spans="1:7" x14ac:dyDescent="0.25">
      <c r="A26" s="4">
        <v>44895</v>
      </c>
      <c r="B26" s="5">
        <v>20</v>
      </c>
      <c r="C26" s="5">
        <v>23</v>
      </c>
      <c r="D26" s="5">
        <v>3</v>
      </c>
      <c r="E26" s="6">
        <f t="shared" si="0"/>
        <v>46</v>
      </c>
      <c r="F26" s="6">
        <f t="shared" si="1"/>
        <v>4</v>
      </c>
      <c r="G26" s="7" t="s">
        <v>14</v>
      </c>
    </row>
    <row r="27" spans="1:7" x14ac:dyDescent="0.25">
      <c r="A27" s="12">
        <v>44926</v>
      </c>
      <c r="B27" s="13">
        <v>20</v>
      </c>
      <c r="C27" s="13">
        <v>24</v>
      </c>
      <c r="D27" s="13">
        <v>4</v>
      </c>
      <c r="E27" s="14">
        <f t="shared" si="0"/>
        <v>48</v>
      </c>
      <c r="F27" s="14">
        <f t="shared" si="1"/>
        <v>2</v>
      </c>
      <c r="G27" s="15"/>
    </row>
    <row r="28" spans="1:7" x14ac:dyDescent="0.25">
      <c r="A28" s="8">
        <v>44957</v>
      </c>
      <c r="B28" s="9">
        <v>21</v>
      </c>
      <c r="C28" s="9">
        <v>25</v>
      </c>
      <c r="D28" s="9">
        <v>4</v>
      </c>
      <c r="E28" s="10">
        <f t="shared" si="0"/>
        <v>50</v>
      </c>
      <c r="F28" s="10">
        <f t="shared" si="1"/>
        <v>2</v>
      </c>
      <c r="G28" s="11"/>
    </row>
    <row r="29" spans="1:7" x14ac:dyDescent="0.25">
      <c r="A29" s="12">
        <v>44985</v>
      </c>
      <c r="B29" s="13">
        <v>22</v>
      </c>
      <c r="C29" s="13">
        <v>27</v>
      </c>
      <c r="D29" s="13">
        <v>4</v>
      </c>
      <c r="E29" s="14">
        <f t="shared" si="0"/>
        <v>53</v>
      </c>
      <c r="F29" s="14">
        <f t="shared" si="1"/>
        <v>3</v>
      </c>
      <c r="G29" s="15"/>
    </row>
    <row r="30" spans="1:7" x14ac:dyDescent="0.25">
      <c r="A30" s="4">
        <v>45016</v>
      </c>
      <c r="B30" s="5">
        <v>23</v>
      </c>
      <c r="C30" s="5">
        <v>28</v>
      </c>
      <c r="D30" s="5">
        <v>5</v>
      </c>
      <c r="E30" s="6">
        <f t="shared" si="0"/>
        <v>56</v>
      </c>
      <c r="F30" s="6">
        <f t="shared" si="1"/>
        <v>3</v>
      </c>
      <c r="G30" s="7" t="s">
        <v>15</v>
      </c>
    </row>
    <row r="31" spans="1:7" x14ac:dyDescent="0.25">
      <c r="A31" s="12">
        <v>45046</v>
      </c>
      <c r="B31" s="13">
        <v>24</v>
      </c>
      <c r="C31" s="13">
        <v>30</v>
      </c>
      <c r="D31" s="13">
        <v>6</v>
      </c>
      <c r="E31" s="14">
        <f t="shared" si="0"/>
        <v>60</v>
      </c>
      <c r="F31" s="14">
        <f t="shared" si="1"/>
        <v>4</v>
      </c>
      <c r="G31" s="15"/>
    </row>
    <row r="32" spans="1:7" x14ac:dyDescent="0.25">
      <c r="A32" s="8">
        <v>45077</v>
      </c>
      <c r="B32" s="9">
        <v>25</v>
      </c>
      <c r="C32" s="9">
        <v>32</v>
      </c>
      <c r="D32" s="9">
        <v>7</v>
      </c>
      <c r="E32" s="10">
        <f t="shared" si="0"/>
        <v>64</v>
      </c>
      <c r="F32" s="10">
        <f t="shared" si="1"/>
        <v>4</v>
      </c>
      <c r="G32" s="11"/>
    </row>
    <row r="33" spans="1:7" x14ac:dyDescent="0.25">
      <c r="A33" s="12">
        <v>45107</v>
      </c>
      <c r="B33" s="13">
        <v>26</v>
      </c>
      <c r="C33" s="13">
        <v>35</v>
      </c>
      <c r="D33" s="13">
        <v>8</v>
      </c>
      <c r="E33" s="14">
        <f t="shared" si="0"/>
        <v>69</v>
      </c>
      <c r="F33" s="14">
        <f t="shared" si="1"/>
        <v>5</v>
      </c>
      <c r="G33" s="15"/>
    </row>
    <row r="34" spans="1:7" x14ac:dyDescent="0.25">
      <c r="A34" s="8">
        <v>45138</v>
      </c>
      <c r="B34" s="9">
        <v>28</v>
      </c>
      <c r="C34" s="9">
        <v>37</v>
      </c>
      <c r="D34" s="9">
        <v>9</v>
      </c>
      <c r="E34" s="10">
        <f t="shared" si="0"/>
        <v>74</v>
      </c>
      <c r="F34" s="10">
        <f t="shared" si="1"/>
        <v>5</v>
      </c>
      <c r="G34" s="11"/>
    </row>
    <row r="35" spans="1:7" x14ac:dyDescent="0.25">
      <c r="A35" s="4">
        <v>45169</v>
      </c>
      <c r="B35" s="5">
        <v>29</v>
      </c>
      <c r="C35" s="5">
        <v>40</v>
      </c>
      <c r="D35" s="5">
        <v>11</v>
      </c>
      <c r="E35" s="6">
        <f t="shared" si="0"/>
        <v>80</v>
      </c>
      <c r="F35" s="6">
        <f t="shared" si="1"/>
        <v>6</v>
      </c>
      <c r="G35" s="7" t="s">
        <v>16</v>
      </c>
    </row>
    <row r="36" spans="1:7" x14ac:dyDescent="0.25">
      <c r="A36" s="8">
        <v>45199</v>
      </c>
      <c r="B36" s="9">
        <v>30</v>
      </c>
      <c r="C36" s="9">
        <v>44</v>
      </c>
      <c r="D36" s="9">
        <v>14</v>
      </c>
      <c r="E36" s="10">
        <f t="shared" si="0"/>
        <v>88</v>
      </c>
      <c r="F36" s="10">
        <f t="shared" si="1"/>
        <v>8</v>
      </c>
      <c r="G36" s="11"/>
    </row>
    <row r="37" spans="1:7" x14ac:dyDescent="0.25">
      <c r="A37" s="4">
        <v>45230</v>
      </c>
      <c r="B37" s="5">
        <v>32</v>
      </c>
      <c r="C37" s="5">
        <v>47</v>
      </c>
      <c r="D37" s="5">
        <v>18</v>
      </c>
      <c r="E37" s="6">
        <f t="shared" si="0"/>
        <v>97</v>
      </c>
      <c r="F37" s="6">
        <f t="shared" si="1"/>
        <v>9</v>
      </c>
      <c r="G37" s="7" t="s">
        <v>17</v>
      </c>
    </row>
    <row r="38" spans="1:7" ht="24" x14ac:dyDescent="0.25">
      <c r="A38" s="4">
        <v>45260</v>
      </c>
      <c r="B38" s="5">
        <v>34</v>
      </c>
      <c r="C38" s="5">
        <v>49</v>
      </c>
      <c r="D38" s="5">
        <v>22</v>
      </c>
      <c r="E38" s="6">
        <f t="shared" si="0"/>
        <v>105</v>
      </c>
      <c r="F38" s="6">
        <f t="shared" si="1"/>
        <v>8</v>
      </c>
      <c r="G38" s="7" t="s">
        <v>18</v>
      </c>
    </row>
    <row r="39" spans="1:7" ht="24" x14ac:dyDescent="0.25">
      <c r="A39" s="4">
        <v>45291</v>
      </c>
      <c r="B39" s="5">
        <v>35</v>
      </c>
      <c r="C39" s="5">
        <v>52</v>
      </c>
      <c r="D39" s="5">
        <v>25</v>
      </c>
      <c r="E39" s="6">
        <f t="shared" si="0"/>
        <v>112</v>
      </c>
      <c r="F39" s="6">
        <f t="shared" si="1"/>
        <v>7</v>
      </c>
      <c r="G39" s="7" t="s">
        <v>19</v>
      </c>
    </row>
    <row r="40" spans="1:7" x14ac:dyDescent="0.25">
      <c r="A40" s="8">
        <v>45322</v>
      </c>
      <c r="B40" s="9">
        <v>35</v>
      </c>
      <c r="C40" s="9">
        <v>56</v>
      </c>
      <c r="D40" s="9">
        <v>27</v>
      </c>
      <c r="E40" s="10">
        <f t="shared" si="0"/>
        <v>118</v>
      </c>
      <c r="F40" s="10">
        <f t="shared" si="1"/>
        <v>6</v>
      </c>
      <c r="G40" s="11"/>
    </row>
    <row r="41" spans="1:7" x14ac:dyDescent="0.25">
      <c r="A41" s="4">
        <v>45351</v>
      </c>
      <c r="B41" s="5">
        <v>36</v>
      </c>
      <c r="C41" s="5">
        <v>58</v>
      </c>
      <c r="D41" s="5">
        <v>29</v>
      </c>
      <c r="E41" s="6">
        <f t="shared" si="0"/>
        <v>123</v>
      </c>
      <c r="F41" s="6">
        <f t="shared" si="1"/>
        <v>5</v>
      </c>
      <c r="G41" s="7" t="s">
        <v>20</v>
      </c>
    </row>
    <row r="42" spans="1:7" x14ac:dyDescent="0.25">
      <c r="A42" s="4">
        <v>45382</v>
      </c>
      <c r="B42" s="5">
        <v>37</v>
      </c>
      <c r="C42" s="5">
        <v>58</v>
      </c>
      <c r="D42" s="5">
        <v>31</v>
      </c>
      <c r="E42" s="6">
        <f t="shared" si="0"/>
        <v>126</v>
      </c>
      <c r="F42" s="6">
        <f t="shared" si="1"/>
        <v>3</v>
      </c>
      <c r="G42" s="7" t="s">
        <v>21</v>
      </c>
    </row>
    <row r="43" spans="1:7" x14ac:dyDescent="0.25">
      <c r="A43" s="4">
        <v>45412</v>
      </c>
      <c r="B43" s="5">
        <v>38</v>
      </c>
      <c r="C43" s="5">
        <v>58</v>
      </c>
      <c r="D43" s="5">
        <v>31</v>
      </c>
      <c r="E43" s="6">
        <f t="shared" si="0"/>
        <v>127</v>
      </c>
      <c r="F43" s="6">
        <f t="shared" si="1"/>
        <v>1</v>
      </c>
      <c r="G43" s="7" t="s">
        <v>22</v>
      </c>
    </row>
    <row r="44" spans="1:7" x14ac:dyDescent="0.25">
      <c r="A44" s="16" t="s">
        <v>23</v>
      </c>
      <c r="B44" s="17">
        <f>B43</f>
        <v>38</v>
      </c>
      <c r="C44" s="17">
        <f>C43</f>
        <v>58</v>
      </c>
      <c r="D44" s="17">
        <f>D43</f>
        <v>31</v>
      </c>
      <c r="E44" s="17">
        <f>E43</f>
        <v>127</v>
      </c>
      <c r="F44" s="17">
        <f>SUM(F5:F43)</f>
        <v>127</v>
      </c>
      <c r="G44" s="18" t="s">
        <v>24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showGridLines="0" zoomScale="160" zoomScaleNormal="160" workbookViewId="0">
      <selection activeCell="F8" sqref="F8"/>
    </sheetView>
  </sheetViews>
  <sheetFormatPr defaultColWidth="8.7109375" defaultRowHeight="15" x14ac:dyDescent="0.25"/>
  <cols>
    <col min="1" max="1" width="16" customWidth="1"/>
    <col min="2" max="2" width="9" customWidth="1"/>
    <col min="3" max="3" width="7" customWidth="1"/>
    <col min="4" max="5" width="10" customWidth="1"/>
    <col min="6" max="6" width="58" customWidth="1"/>
  </cols>
  <sheetData>
    <row r="1" spans="1:6" ht="18" x14ac:dyDescent="0.25">
      <c r="A1" s="1" t="s">
        <v>25</v>
      </c>
    </row>
    <row r="2" spans="1:6" x14ac:dyDescent="0.25">
      <c r="A2" s="2" t="s">
        <v>26</v>
      </c>
    </row>
    <row r="4" spans="1:6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</row>
    <row r="5" spans="1:6" ht="24" x14ac:dyDescent="0.25">
      <c r="A5" s="19" t="s">
        <v>33</v>
      </c>
      <c r="B5" s="20" t="s">
        <v>34</v>
      </c>
      <c r="C5" s="21">
        <v>17</v>
      </c>
      <c r="D5" s="21">
        <v>38</v>
      </c>
      <c r="E5" s="22">
        <f t="shared" ref="E5:E16" si="0">D5/C5</f>
        <v>2.2352941176470589</v>
      </c>
      <c r="F5" s="15" t="s">
        <v>197</v>
      </c>
    </row>
    <row r="6" spans="1:6" ht="24" x14ac:dyDescent="0.25">
      <c r="A6" s="23" t="s">
        <v>35</v>
      </c>
      <c r="B6" s="24" t="s">
        <v>36</v>
      </c>
      <c r="C6" s="25">
        <v>10</v>
      </c>
      <c r="D6" s="25">
        <v>21</v>
      </c>
      <c r="E6" s="26">
        <f t="shared" si="0"/>
        <v>2.1</v>
      </c>
      <c r="F6" s="11" t="s">
        <v>37</v>
      </c>
    </row>
    <row r="7" spans="1:6" ht="24" x14ac:dyDescent="0.25">
      <c r="A7" s="19" t="s">
        <v>38</v>
      </c>
      <c r="B7" s="20" t="s">
        <v>39</v>
      </c>
      <c r="C7" s="21">
        <v>5</v>
      </c>
      <c r="D7" s="21">
        <v>18</v>
      </c>
      <c r="E7" s="22">
        <f t="shared" si="0"/>
        <v>3.6</v>
      </c>
      <c r="F7" s="15" t="s">
        <v>40</v>
      </c>
    </row>
    <row r="8" spans="1:6" ht="24" x14ac:dyDescent="0.25">
      <c r="A8" s="23" t="s">
        <v>41</v>
      </c>
      <c r="B8" s="24" t="s">
        <v>39</v>
      </c>
      <c r="C8" s="25">
        <v>5</v>
      </c>
      <c r="D8" s="25">
        <v>13</v>
      </c>
      <c r="E8" s="26">
        <f t="shared" si="0"/>
        <v>2.6</v>
      </c>
      <c r="F8" s="11" t="s">
        <v>42</v>
      </c>
    </row>
    <row r="9" spans="1:6" ht="24" x14ac:dyDescent="0.25">
      <c r="A9" s="19" t="s">
        <v>43</v>
      </c>
      <c r="B9" s="20" t="s">
        <v>36</v>
      </c>
      <c r="C9" s="21">
        <v>10</v>
      </c>
      <c r="D9" s="21">
        <v>10</v>
      </c>
      <c r="E9" s="22">
        <f t="shared" si="0"/>
        <v>1</v>
      </c>
      <c r="F9" s="15" t="s">
        <v>44</v>
      </c>
    </row>
    <row r="10" spans="1:6" ht="36" x14ac:dyDescent="0.25">
      <c r="A10" s="23" t="s">
        <v>45</v>
      </c>
      <c r="B10" s="24" t="s">
        <v>36</v>
      </c>
      <c r="C10" s="25">
        <v>9</v>
      </c>
      <c r="D10" s="25">
        <v>9</v>
      </c>
      <c r="E10" s="26">
        <f t="shared" si="0"/>
        <v>1</v>
      </c>
      <c r="F10" s="11" t="s">
        <v>46</v>
      </c>
    </row>
    <row r="11" spans="1:6" x14ac:dyDescent="0.25">
      <c r="A11" s="19" t="s">
        <v>47</v>
      </c>
      <c r="B11" s="20" t="s">
        <v>36</v>
      </c>
      <c r="C11" s="21">
        <v>9</v>
      </c>
      <c r="D11" s="21">
        <v>9</v>
      </c>
      <c r="E11" s="22">
        <f t="shared" si="0"/>
        <v>1</v>
      </c>
      <c r="F11" s="15" t="s">
        <v>48</v>
      </c>
    </row>
    <row r="12" spans="1:6" x14ac:dyDescent="0.25">
      <c r="A12" s="23" t="s">
        <v>49</v>
      </c>
      <c r="B12" s="24" t="s">
        <v>36</v>
      </c>
      <c r="C12" s="25">
        <v>3</v>
      </c>
      <c r="D12" s="25">
        <v>3</v>
      </c>
      <c r="E12" s="26">
        <f t="shared" si="0"/>
        <v>1</v>
      </c>
      <c r="F12" s="11" t="s">
        <v>50</v>
      </c>
    </row>
    <row r="13" spans="1:6" x14ac:dyDescent="0.25">
      <c r="A13" s="19" t="s">
        <v>51</v>
      </c>
      <c r="B13" s="20" t="s">
        <v>36</v>
      </c>
      <c r="C13" s="21">
        <v>3</v>
      </c>
      <c r="D13" s="21">
        <v>3</v>
      </c>
      <c r="E13" s="22">
        <f t="shared" si="0"/>
        <v>1</v>
      </c>
      <c r="F13" s="15" t="s">
        <v>52</v>
      </c>
    </row>
    <row r="14" spans="1:6" x14ac:dyDescent="0.25">
      <c r="A14" s="23" t="s">
        <v>53</v>
      </c>
      <c r="B14" s="24" t="s">
        <v>36</v>
      </c>
      <c r="C14" s="25">
        <v>2</v>
      </c>
      <c r="D14" s="25">
        <v>2</v>
      </c>
      <c r="E14" s="26">
        <f t="shared" si="0"/>
        <v>1</v>
      </c>
      <c r="F14" s="11" t="s">
        <v>54</v>
      </c>
    </row>
    <row r="15" spans="1:6" x14ac:dyDescent="0.25">
      <c r="A15" s="19" t="s">
        <v>55</v>
      </c>
      <c r="B15" s="20" t="s">
        <v>36</v>
      </c>
      <c r="C15" s="21">
        <v>1</v>
      </c>
      <c r="D15" s="21">
        <v>1</v>
      </c>
      <c r="E15" s="22">
        <f t="shared" si="0"/>
        <v>1</v>
      </c>
      <c r="F15" s="15" t="s">
        <v>196</v>
      </c>
    </row>
    <row r="16" spans="1:6" x14ac:dyDescent="0.25">
      <c r="A16" s="27" t="s">
        <v>56</v>
      </c>
      <c r="B16" s="28"/>
      <c r="C16" s="29">
        <f>SUM(C5:C15)</f>
        <v>74</v>
      </c>
      <c r="D16" s="29">
        <f>SUM(D5:D15)</f>
        <v>127</v>
      </c>
      <c r="E16" s="30">
        <f t="shared" si="0"/>
        <v>1.7162162162162162</v>
      </c>
      <c r="F16" s="28"/>
    </row>
    <row r="19" spans="1:3" x14ac:dyDescent="0.25">
      <c r="A19" s="31" t="s">
        <v>57</v>
      </c>
    </row>
    <row r="20" spans="1:3" x14ac:dyDescent="0.25">
      <c r="A20" s="3" t="s">
        <v>28</v>
      </c>
      <c r="B20" s="3" t="s">
        <v>30</v>
      </c>
      <c r="C20" s="3" t="s">
        <v>58</v>
      </c>
    </row>
    <row r="21" spans="1:3" x14ac:dyDescent="0.25">
      <c r="A21" s="19" t="s">
        <v>34</v>
      </c>
      <c r="B21" s="32">
        <f>SUMIF(B5:B15,"US",D5:D15)</f>
        <v>38</v>
      </c>
      <c r="C21" s="33">
        <f>B21/D16</f>
        <v>0.29921259842519687</v>
      </c>
    </row>
    <row r="22" spans="1:3" x14ac:dyDescent="0.25">
      <c r="A22" s="19" t="s">
        <v>36</v>
      </c>
      <c r="B22" s="32">
        <f>SUMIF(B5:B15,"Europe",D5:D15)</f>
        <v>58</v>
      </c>
      <c r="C22" s="33">
        <f>B22/D16</f>
        <v>0.45669291338582679</v>
      </c>
    </row>
    <row r="23" spans="1:3" x14ac:dyDescent="0.25">
      <c r="A23" s="19" t="s">
        <v>39</v>
      </c>
      <c r="B23" s="32">
        <f>SUMIF(B5:B15,"Asia",D5:D15)</f>
        <v>31</v>
      </c>
      <c r="C23" s="33">
        <f>B23/D16</f>
        <v>0.24409448818897639</v>
      </c>
    </row>
    <row r="24" spans="1:3" x14ac:dyDescent="0.25">
      <c r="A24" s="27" t="s">
        <v>59</v>
      </c>
      <c r="B24" s="29">
        <f>B21+B22</f>
        <v>96</v>
      </c>
      <c r="C24" s="34">
        <f>B24/D16</f>
        <v>0.75590551181102361</v>
      </c>
    </row>
    <row r="25" spans="1:3" x14ac:dyDescent="0.25">
      <c r="A25" s="35" t="s">
        <v>60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showGridLines="0" zoomScale="160" zoomScaleNormal="160" workbookViewId="0">
      <selection activeCell="B18" sqref="B18"/>
    </sheetView>
  </sheetViews>
  <sheetFormatPr defaultColWidth="8.7109375" defaultRowHeight="15" x14ac:dyDescent="0.25"/>
  <cols>
    <col min="1" max="1" width="7" customWidth="1"/>
    <col min="2" max="2" width="42" customWidth="1"/>
    <col min="3" max="3" width="84" customWidth="1"/>
  </cols>
  <sheetData>
    <row r="1" spans="1:3" ht="18" x14ac:dyDescent="0.25">
      <c r="A1" s="1" t="s">
        <v>61</v>
      </c>
    </row>
    <row r="3" spans="1:3" x14ac:dyDescent="0.25">
      <c r="A3" s="3" t="s">
        <v>62</v>
      </c>
      <c r="B3" s="3" t="s">
        <v>63</v>
      </c>
      <c r="C3" s="3" t="s">
        <v>64</v>
      </c>
    </row>
    <row r="4" spans="1:3" x14ac:dyDescent="0.25">
      <c r="A4" s="36" t="s">
        <v>65</v>
      </c>
      <c r="B4" s="19" t="s">
        <v>66</v>
      </c>
      <c r="C4" s="19" t="s">
        <v>67</v>
      </c>
    </row>
    <row r="5" spans="1:3" x14ac:dyDescent="0.25">
      <c r="A5" s="37" t="s">
        <v>68</v>
      </c>
      <c r="B5" s="23" t="s">
        <v>69</v>
      </c>
      <c r="C5" s="23" t="s">
        <v>70</v>
      </c>
    </row>
    <row r="6" spans="1:3" x14ac:dyDescent="0.25">
      <c r="A6" s="36" t="s">
        <v>71</v>
      </c>
      <c r="B6" s="19" t="s">
        <v>72</v>
      </c>
      <c r="C6" s="19" t="s">
        <v>73</v>
      </c>
    </row>
    <row r="7" spans="1:3" x14ac:dyDescent="0.25">
      <c r="A7" s="37" t="s">
        <v>74</v>
      </c>
      <c r="B7" s="23" t="s">
        <v>75</v>
      </c>
      <c r="C7" s="23" t="s">
        <v>76</v>
      </c>
    </row>
    <row r="8" spans="1:3" x14ac:dyDescent="0.25">
      <c r="A8" s="36" t="s">
        <v>77</v>
      </c>
      <c r="B8" s="19" t="s">
        <v>78</v>
      </c>
      <c r="C8" s="19" t="s">
        <v>79</v>
      </c>
    </row>
    <row r="9" spans="1:3" x14ac:dyDescent="0.25">
      <c r="A9" s="37" t="s">
        <v>80</v>
      </c>
      <c r="B9" s="23" t="s">
        <v>81</v>
      </c>
      <c r="C9" s="23" t="s">
        <v>82</v>
      </c>
    </row>
    <row r="10" spans="1:3" x14ac:dyDescent="0.25">
      <c r="A10" s="36" t="s">
        <v>83</v>
      </c>
      <c r="B10" s="19" t="s">
        <v>84</v>
      </c>
      <c r="C10" s="19" t="s">
        <v>85</v>
      </c>
    </row>
    <row r="11" spans="1:3" x14ac:dyDescent="0.25">
      <c r="A11" s="37" t="s">
        <v>86</v>
      </c>
      <c r="B11" s="23" t="s">
        <v>87</v>
      </c>
      <c r="C11" s="23" t="s">
        <v>88</v>
      </c>
    </row>
    <row r="12" spans="1:3" x14ac:dyDescent="0.25">
      <c r="A12" s="36" t="s">
        <v>89</v>
      </c>
      <c r="B12" s="19" t="s">
        <v>90</v>
      </c>
      <c r="C12" s="19" t="s">
        <v>91</v>
      </c>
    </row>
    <row r="13" spans="1:3" x14ac:dyDescent="0.25">
      <c r="A13" s="37" t="s">
        <v>92</v>
      </c>
      <c r="B13" s="23" t="s">
        <v>93</v>
      </c>
      <c r="C13" s="23" t="s">
        <v>94</v>
      </c>
    </row>
    <row r="14" spans="1:3" ht="25.5" x14ac:dyDescent="0.25">
      <c r="A14" s="36" t="s">
        <v>95</v>
      </c>
      <c r="B14" s="19" t="s">
        <v>96</v>
      </c>
      <c r="C14" s="19" t="s">
        <v>97</v>
      </c>
    </row>
    <row r="15" spans="1:3" x14ac:dyDescent="0.25">
      <c r="A15" s="37" t="s">
        <v>98</v>
      </c>
      <c r="B15" s="23" t="s">
        <v>99</v>
      </c>
      <c r="C15" s="23" t="s">
        <v>100</v>
      </c>
    </row>
    <row r="16" spans="1:3" ht="25.5" x14ac:dyDescent="0.25">
      <c r="A16" s="36" t="s">
        <v>101</v>
      </c>
      <c r="B16" s="19" t="s">
        <v>102</v>
      </c>
      <c r="C16" s="19" t="s">
        <v>103</v>
      </c>
    </row>
    <row r="17" spans="1:3" ht="51" x14ac:dyDescent="0.25">
      <c r="A17" s="37" t="s">
        <v>104</v>
      </c>
      <c r="B17" s="23" t="s">
        <v>201</v>
      </c>
      <c r="C17" s="23" t="s">
        <v>105</v>
      </c>
    </row>
    <row r="18" spans="1:3" ht="25.5" x14ac:dyDescent="0.25">
      <c r="A18" s="36" t="s">
        <v>106</v>
      </c>
      <c r="B18" s="19" t="s">
        <v>107</v>
      </c>
      <c r="C18" s="19" t="s">
        <v>108</v>
      </c>
    </row>
    <row r="19" spans="1:3" x14ac:dyDescent="0.25">
      <c r="A19" s="37" t="s">
        <v>109</v>
      </c>
      <c r="B19" s="23" t="s">
        <v>110</v>
      </c>
      <c r="C19" s="23" t="s">
        <v>111</v>
      </c>
    </row>
    <row r="20" spans="1:3" ht="25.5" x14ac:dyDescent="0.25">
      <c r="A20" s="36" t="s">
        <v>112</v>
      </c>
      <c r="B20" s="19" t="s">
        <v>113</v>
      </c>
      <c r="C20" s="19" t="s">
        <v>114</v>
      </c>
    </row>
    <row r="21" spans="1:3" ht="38.25" x14ac:dyDescent="0.25">
      <c r="A21" s="37" t="s">
        <v>115</v>
      </c>
      <c r="B21" s="23" t="s">
        <v>116</v>
      </c>
      <c r="C21" s="23" t="s">
        <v>117</v>
      </c>
    </row>
    <row r="22" spans="1:3" ht="25.5" x14ac:dyDescent="0.25">
      <c r="A22" s="36" t="s">
        <v>118</v>
      </c>
      <c r="B22" s="19" t="s">
        <v>119</v>
      </c>
      <c r="C22" s="19" t="s">
        <v>120</v>
      </c>
    </row>
    <row r="23" spans="1:3" ht="25.5" x14ac:dyDescent="0.25">
      <c r="A23" s="37" t="s">
        <v>121</v>
      </c>
      <c r="B23" s="23" t="s">
        <v>122</v>
      </c>
      <c r="C23" s="23" t="s">
        <v>123</v>
      </c>
    </row>
    <row r="24" spans="1:3" ht="25.5" x14ac:dyDescent="0.25">
      <c r="A24" s="36" t="s">
        <v>124</v>
      </c>
      <c r="B24" s="19" t="s">
        <v>125</v>
      </c>
      <c r="C24" s="19" t="s">
        <v>199</v>
      </c>
    </row>
    <row r="25" spans="1:3" x14ac:dyDescent="0.25">
      <c r="A25" s="37" t="s">
        <v>126</v>
      </c>
      <c r="B25" s="23" t="s">
        <v>127</v>
      </c>
      <c r="C25" s="23" t="s">
        <v>128</v>
      </c>
    </row>
    <row r="26" spans="1:3" x14ac:dyDescent="0.25">
      <c r="A26" s="36" t="s">
        <v>129</v>
      </c>
      <c r="B26" s="19" t="s">
        <v>130</v>
      </c>
      <c r="C26" s="19" t="s">
        <v>131</v>
      </c>
    </row>
    <row r="27" spans="1:3" ht="51" x14ac:dyDescent="0.25">
      <c r="A27" s="37" t="s">
        <v>132</v>
      </c>
      <c r="B27" s="23" t="s">
        <v>133</v>
      </c>
      <c r="C27" s="23" t="s">
        <v>134</v>
      </c>
    </row>
    <row r="28" spans="1:3" ht="51" x14ac:dyDescent="0.25">
      <c r="A28" s="36" t="s">
        <v>135</v>
      </c>
      <c r="B28" s="19" t="s">
        <v>200</v>
      </c>
      <c r="C28" s="19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showGridLines="0" zoomScale="190" zoomScaleNormal="190" workbookViewId="0">
      <selection activeCell="A30" sqref="A30"/>
    </sheetView>
  </sheetViews>
  <sheetFormatPr defaultColWidth="8.7109375" defaultRowHeight="15" x14ac:dyDescent="0.25"/>
  <cols>
    <col min="1" max="1" width="30" customWidth="1"/>
    <col min="2" max="2" width="105" customWidth="1"/>
  </cols>
  <sheetData>
    <row r="1" spans="1:2" ht="18" x14ac:dyDescent="0.25">
      <c r="A1" s="1" t="s">
        <v>137</v>
      </c>
    </row>
    <row r="2" spans="1:2" x14ac:dyDescent="0.25">
      <c r="A2" s="2" t="s">
        <v>138</v>
      </c>
    </row>
    <row r="4" spans="1:2" x14ac:dyDescent="0.25">
      <c r="A4" s="3" t="s">
        <v>139</v>
      </c>
      <c r="B4" s="3" t="s">
        <v>140</v>
      </c>
    </row>
    <row r="5" spans="1:2" x14ac:dyDescent="0.25">
      <c r="A5" s="43" t="s">
        <v>141</v>
      </c>
      <c r="B5" s="43"/>
    </row>
    <row r="6" spans="1:2" x14ac:dyDescent="0.25">
      <c r="A6" s="38" t="s">
        <v>142</v>
      </c>
      <c r="B6" s="19" t="s">
        <v>143</v>
      </c>
    </row>
    <row r="7" spans="1:2" ht="25.5" x14ac:dyDescent="0.25">
      <c r="A7" s="38" t="s">
        <v>144</v>
      </c>
      <c r="B7" s="19" t="s">
        <v>193</v>
      </c>
    </row>
    <row r="8" spans="1:2" x14ac:dyDescent="0.25">
      <c r="A8" s="38" t="s">
        <v>145</v>
      </c>
      <c r="B8" s="19" t="s">
        <v>146</v>
      </c>
    </row>
    <row r="9" spans="1:2" ht="25.5" x14ac:dyDescent="0.25">
      <c r="A9" s="38" t="s">
        <v>147</v>
      </c>
      <c r="B9" s="19" t="s">
        <v>148</v>
      </c>
    </row>
    <row r="10" spans="1:2" ht="25.5" x14ac:dyDescent="0.25">
      <c r="A10" s="38" t="s">
        <v>149</v>
      </c>
      <c r="B10" s="19" t="s">
        <v>150</v>
      </c>
    </row>
    <row r="11" spans="1:2" x14ac:dyDescent="0.25">
      <c r="A11" s="43"/>
      <c r="B11" s="43"/>
    </row>
    <row r="12" spans="1:2" x14ac:dyDescent="0.25">
      <c r="A12" s="43" t="s">
        <v>151</v>
      </c>
      <c r="B12" s="43"/>
    </row>
    <row r="13" spans="1:2" ht="38.25" x14ac:dyDescent="0.25">
      <c r="A13" s="38" t="s">
        <v>152</v>
      </c>
      <c r="B13" s="19" t="s">
        <v>194</v>
      </c>
    </row>
    <row r="14" spans="1:2" ht="38.25" x14ac:dyDescent="0.25">
      <c r="A14" s="38" t="s">
        <v>153</v>
      </c>
      <c r="B14" s="19" t="s">
        <v>154</v>
      </c>
    </row>
    <row r="15" spans="1:2" ht="63.75" x14ac:dyDescent="0.25">
      <c r="A15" s="38" t="s">
        <v>155</v>
      </c>
      <c r="B15" s="19" t="s">
        <v>195</v>
      </c>
    </row>
    <row r="16" spans="1:2" x14ac:dyDescent="0.25">
      <c r="A16" s="38" t="s">
        <v>156</v>
      </c>
      <c r="B16" s="19" t="s">
        <v>157</v>
      </c>
    </row>
    <row r="17" spans="1:2" x14ac:dyDescent="0.25">
      <c r="A17" s="38" t="s">
        <v>158</v>
      </c>
      <c r="B17" s="19" t="s">
        <v>159</v>
      </c>
    </row>
    <row r="18" spans="1:2" ht="25.5" x14ac:dyDescent="0.25">
      <c r="A18" s="38" t="s">
        <v>160</v>
      </c>
      <c r="B18" s="19" t="s">
        <v>161</v>
      </c>
    </row>
    <row r="19" spans="1:2" x14ac:dyDescent="0.25">
      <c r="A19" s="38" t="s">
        <v>162</v>
      </c>
      <c r="B19" s="19" t="s">
        <v>163</v>
      </c>
    </row>
    <row r="20" spans="1:2" x14ac:dyDescent="0.25">
      <c r="A20" s="38" t="s">
        <v>164</v>
      </c>
      <c r="B20" s="19" t="s">
        <v>165</v>
      </c>
    </row>
  </sheetData>
  <mergeCells count="3">
    <mergeCell ref="A5:B5"/>
    <mergeCell ref="A11:B11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7"/>
  <sheetViews>
    <sheetView showGridLines="0" tabSelected="1"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3" sqref="A53"/>
    </sheetView>
  </sheetViews>
  <sheetFormatPr defaultColWidth="8.7109375" defaultRowHeight="15" x14ac:dyDescent="0.25"/>
  <cols>
    <col min="1" max="1" width="12" customWidth="1"/>
    <col min="2" max="2" width="13" customWidth="1"/>
    <col min="3" max="3" width="17" customWidth="1"/>
    <col min="4" max="5" width="12" customWidth="1"/>
    <col min="6" max="6" width="13" customWidth="1"/>
    <col min="7" max="7" width="12" customWidth="1"/>
  </cols>
  <sheetData>
    <row r="1" spans="1:7" ht="18" x14ac:dyDescent="0.25">
      <c r="A1" s="1" t="s">
        <v>166</v>
      </c>
    </row>
    <row r="2" spans="1:7" x14ac:dyDescent="0.25">
      <c r="A2" s="2" t="s">
        <v>167</v>
      </c>
    </row>
    <row r="4" spans="1:7" x14ac:dyDescent="0.25">
      <c r="A4" s="3" t="s">
        <v>2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172</v>
      </c>
      <c r="G4" s="3" t="s">
        <v>173</v>
      </c>
    </row>
    <row r="5" spans="1:7" x14ac:dyDescent="0.25">
      <c r="A5" s="12">
        <v>44255</v>
      </c>
      <c r="B5" s="39">
        <v>1</v>
      </c>
      <c r="C5" s="39">
        <v>1</v>
      </c>
      <c r="D5" s="39">
        <v>1</v>
      </c>
      <c r="E5" s="39">
        <v>1</v>
      </c>
      <c r="F5" s="39">
        <v>1</v>
      </c>
      <c r="G5" s="40">
        <v>64</v>
      </c>
    </row>
    <row r="6" spans="1:7" x14ac:dyDescent="0.25">
      <c r="A6" s="12">
        <v>44286</v>
      </c>
      <c r="B6" s="39">
        <v>2</v>
      </c>
      <c r="C6" s="39">
        <v>1</v>
      </c>
      <c r="D6" s="39">
        <v>1</v>
      </c>
      <c r="E6" s="39">
        <v>1</v>
      </c>
      <c r="F6" s="39">
        <v>1</v>
      </c>
      <c r="G6" s="40">
        <v>64</v>
      </c>
    </row>
    <row r="7" spans="1:7" x14ac:dyDescent="0.25">
      <c r="A7" s="12">
        <v>44316</v>
      </c>
      <c r="B7" s="39">
        <v>3</v>
      </c>
      <c r="C7" s="39">
        <v>2</v>
      </c>
      <c r="D7" s="39">
        <v>1</v>
      </c>
      <c r="E7" s="39">
        <v>1</v>
      </c>
      <c r="F7" s="39">
        <v>1</v>
      </c>
      <c r="G7" s="40">
        <v>64</v>
      </c>
    </row>
    <row r="8" spans="1:7" x14ac:dyDescent="0.25">
      <c r="A8" s="12">
        <v>44347</v>
      </c>
      <c r="B8" s="39">
        <v>4</v>
      </c>
      <c r="C8" s="39">
        <v>3</v>
      </c>
      <c r="D8" s="39">
        <v>2</v>
      </c>
      <c r="E8" s="39">
        <v>2</v>
      </c>
      <c r="F8" s="39">
        <v>2</v>
      </c>
      <c r="G8" s="40">
        <v>64</v>
      </c>
    </row>
    <row r="9" spans="1:7" x14ac:dyDescent="0.25">
      <c r="A9" s="12">
        <v>44377</v>
      </c>
      <c r="B9" s="39">
        <v>5</v>
      </c>
      <c r="C9" s="39">
        <v>4</v>
      </c>
      <c r="D9" s="39">
        <v>3</v>
      </c>
      <c r="E9" s="39">
        <v>3</v>
      </c>
      <c r="F9" s="39">
        <v>3</v>
      </c>
      <c r="G9" s="40">
        <v>64</v>
      </c>
    </row>
    <row r="10" spans="1:7" x14ac:dyDescent="0.25">
      <c r="A10" s="12">
        <v>44408</v>
      </c>
      <c r="B10" s="39">
        <v>6</v>
      </c>
      <c r="C10" s="39">
        <v>5</v>
      </c>
      <c r="D10" s="39">
        <v>4</v>
      </c>
      <c r="E10" s="39">
        <v>4</v>
      </c>
      <c r="F10" s="39">
        <v>4</v>
      </c>
      <c r="G10" s="40">
        <v>64</v>
      </c>
    </row>
    <row r="11" spans="1:7" x14ac:dyDescent="0.25">
      <c r="A11" s="12">
        <v>44439</v>
      </c>
      <c r="B11" s="39">
        <v>7</v>
      </c>
      <c r="C11" s="39">
        <v>6</v>
      </c>
      <c r="D11" s="39">
        <v>5</v>
      </c>
      <c r="E11" s="39">
        <v>5</v>
      </c>
      <c r="F11" s="39">
        <v>5</v>
      </c>
      <c r="G11" s="40">
        <v>64</v>
      </c>
    </row>
    <row r="12" spans="1:7" x14ac:dyDescent="0.25">
      <c r="A12" s="12">
        <v>44469</v>
      </c>
      <c r="B12" s="39">
        <v>8</v>
      </c>
      <c r="C12" s="39">
        <v>7</v>
      </c>
      <c r="D12" s="39">
        <v>6</v>
      </c>
      <c r="E12" s="39">
        <v>6</v>
      </c>
      <c r="F12" s="39">
        <v>6</v>
      </c>
      <c r="G12" s="40">
        <v>64</v>
      </c>
    </row>
    <row r="13" spans="1:7" x14ac:dyDescent="0.25">
      <c r="A13" s="12">
        <v>44500</v>
      </c>
      <c r="B13" s="39">
        <v>10</v>
      </c>
      <c r="C13" s="39">
        <v>8</v>
      </c>
      <c r="D13" s="39">
        <v>7</v>
      </c>
      <c r="E13" s="39">
        <v>7</v>
      </c>
      <c r="F13" s="39">
        <v>7</v>
      </c>
      <c r="G13" s="40">
        <v>64</v>
      </c>
    </row>
    <row r="14" spans="1:7" x14ac:dyDescent="0.25">
      <c r="A14" s="12">
        <v>44530</v>
      </c>
      <c r="B14" s="39">
        <v>12</v>
      </c>
      <c r="C14" s="39">
        <v>10</v>
      </c>
      <c r="D14" s="39">
        <v>9</v>
      </c>
      <c r="E14" s="39">
        <v>8</v>
      </c>
      <c r="F14" s="39">
        <v>8</v>
      </c>
      <c r="G14" s="40">
        <v>64</v>
      </c>
    </row>
    <row r="15" spans="1:7" x14ac:dyDescent="0.25">
      <c r="A15" s="12">
        <v>44561</v>
      </c>
      <c r="B15" s="39">
        <v>14</v>
      </c>
      <c r="C15" s="39">
        <v>12</v>
      </c>
      <c r="D15" s="39">
        <v>11</v>
      </c>
      <c r="E15" s="39">
        <v>9</v>
      </c>
      <c r="F15" s="39">
        <v>9</v>
      </c>
      <c r="G15" s="40">
        <v>64</v>
      </c>
    </row>
    <row r="16" spans="1:7" x14ac:dyDescent="0.25">
      <c r="A16" s="12">
        <v>44592</v>
      </c>
      <c r="B16" s="39">
        <v>16</v>
      </c>
      <c r="C16" s="39">
        <v>14</v>
      </c>
      <c r="D16" s="39">
        <v>13</v>
      </c>
      <c r="E16" s="39">
        <v>11</v>
      </c>
      <c r="F16" s="39">
        <v>10</v>
      </c>
      <c r="G16" s="40">
        <v>64</v>
      </c>
    </row>
    <row r="17" spans="1:7" x14ac:dyDescent="0.25">
      <c r="A17" s="12">
        <v>44620</v>
      </c>
      <c r="B17" s="39">
        <v>18</v>
      </c>
      <c r="C17" s="39">
        <v>16</v>
      </c>
      <c r="D17" s="39">
        <v>15</v>
      </c>
      <c r="E17" s="39">
        <v>13</v>
      </c>
      <c r="F17" s="39">
        <v>12</v>
      </c>
      <c r="G17" s="40">
        <v>64</v>
      </c>
    </row>
    <row r="18" spans="1:7" x14ac:dyDescent="0.25">
      <c r="A18" s="12">
        <v>44651</v>
      </c>
      <c r="B18" s="39">
        <v>21</v>
      </c>
      <c r="C18" s="39">
        <v>19</v>
      </c>
      <c r="D18" s="39">
        <v>17</v>
      </c>
      <c r="E18" s="39">
        <v>15</v>
      </c>
      <c r="F18" s="39">
        <v>14</v>
      </c>
      <c r="G18" s="40">
        <v>64</v>
      </c>
    </row>
    <row r="19" spans="1:7" x14ac:dyDescent="0.25">
      <c r="A19" s="12">
        <v>44681</v>
      </c>
      <c r="B19" s="39">
        <v>24</v>
      </c>
      <c r="C19" s="39">
        <v>22</v>
      </c>
      <c r="D19" s="39">
        <v>20</v>
      </c>
      <c r="E19" s="39">
        <v>17</v>
      </c>
      <c r="F19" s="39">
        <v>16</v>
      </c>
      <c r="G19" s="40">
        <v>64</v>
      </c>
    </row>
    <row r="20" spans="1:7" x14ac:dyDescent="0.25">
      <c r="A20" s="12">
        <v>44712</v>
      </c>
      <c r="B20" s="39">
        <v>27</v>
      </c>
      <c r="C20" s="39">
        <v>25</v>
      </c>
      <c r="D20" s="39">
        <v>23</v>
      </c>
      <c r="E20" s="39">
        <v>19</v>
      </c>
      <c r="F20" s="39">
        <v>18</v>
      </c>
      <c r="G20" s="40">
        <v>64</v>
      </c>
    </row>
    <row r="21" spans="1:7" x14ac:dyDescent="0.25">
      <c r="A21" s="12">
        <v>44742</v>
      </c>
      <c r="B21" s="39">
        <v>31</v>
      </c>
      <c r="C21" s="39">
        <v>28</v>
      </c>
      <c r="D21" s="39">
        <v>26</v>
      </c>
      <c r="E21" s="39">
        <v>22</v>
      </c>
      <c r="F21" s="39">
        <v>20</v>
      </c>
      <c r="G21" s="40">
        <v>64</v>
      </c>
    </row>
    <row r="22" spans="1:7" x14ac:dyDescent="0.25">
      <c r="A22" s="12">
        <v>44773</v>
      </c>
      <c r="B22" s="39">
        <v>35</v>
      </c>
      <c r="C22" s="39">
        <v>31</v>
      </c>
      <c r="D22" s="39">
        <v>29</v>
      </c>
      <c r="E22" s="39">
        <v>25</v>
      </c>
      <c r="F22" s="39">
        <v>22</v>
      </c>
      <c r="G22" s="40">
        <v>64</v>
      </c>
    </row>
    <row r="23" spans="1:7" x14ac:dyDescent="0.25">
      <c r="A23" s="12">
        <v>44804</v>
      </c>
      <c r="B23" s="39">
        <v>39</v>
      </c>
      <c r="C23" s="39">
        <v>34</v>
      </c>
      <c r="D23" s="39">
        <v>32</v>
      </c>
      <c r="E23" s="39">
        <v>28</v>
      </c>
      <c r="F23" s="39">
        <v>25</v>
      </c>
      <c r="G23" s="40">
        <v>64</v>
      </c>
    </row>
    <row r="24" spans="1:7" x14ac:dyDescent="0.25">
      <c r="A24" s="12">
        <v>44834</v>
      </c>
      <c r="B24" s="39">
        <v>43</v>
      </c>
      <c r="C24" s="39">
        <v>38</v>
      </c>
      <c r="D24" s="39">
        <v>35</v>
      </c>
      <c r="E24" s="39">
        <v>31</v>
      </c>
      <c r="F24" s="39">
        <v>28</v>
      </c>
      <c r="G24" s="40">
        <v>64</v>
      </c>
    </row>
    <row r="25" spans="1:7" x14ac:dyDescent="0.25">
      <c r="A25" s="12">
        <v>44865</v>
      </c>
      <c r="B25" s="39">
        <v>47</v>
      </c>
      <c r="C25" s="39">
        <v>42</v>
      </c>
      <c r="D25" s="39">
        <v>39</v>
      </c>
      <c r="E25" s="39">
        <v>35</v>
      </c>
      <c r="F25" s="39">
        <v>32</v>
      </c>
      <c r="G25" s="40">
        <v>64</v>
      </c>
    </row>
    <row r="26" spans="1:7" x14ac:dyDescent="0.25">
      <c r="A26" s="12">
        <v>44895</v>
      </c>
      <c r="B26" s="39">
        <v>51</v>
      </c>
      <c r="C26" s="39">
        <v>46</v>
      </c>
      <c r="D26" s="39">
        <v>43</v>
      </c>
      <c r="E26" s="39">
        <v>39</v>
      </c>
      <c r="F26" s="39">
        <v>36</v>
      </c>
      <c r="G26" s="40">
        <v>64</v>
      </c>
    </row>
    <row r="27" spans="1:7" x14ac:dyDescent="0.25">
      <c r="A27" s="12">
        <v>44926</v>
      </c>
      <c r="B27" s="39">
        <v>53</v>
      </c>
      <c r="C27" s="39">
        <v>48</v>
      </c>
      <c r="D27" s="39">
        <v>45</v>
      </c>
      <c r="E27" s="39">
        <v>41</v>
      </c>
      <c r="F27" s="39">
        <v>38</v>
      </c>
      <c r="G27" s="40">
        <v>64</v>
      </c>
    </row>
    <row r="28" spans="1:7" x14ac:dyDescent="0.25">
      <c r="A28" s="12">
        <v>44957</v>
      </c>
      <c r="B28" s="39">
        <v>55</v>
      </c>
      <c r="C28" s="39">
        <v>50</v>
      </c>
      <c r="D28" s="39">
        <v>47</v>
      </c>
      <c r="E28" s="39">
        <v>43</v>
      </c>
      <c r="F28" s="39">
        <v>40</v>
      </c>
      <c r="G28" s="40">
        <v>64</v>
      </c>
    </row>
    <row r="29" spans="1:7" x14ac:dyDescent="0.25">
      <c r="A29" s="12">
        <v>44985</v>
      </c>
      <c r="B29" s="39">
        <v>58</v>
      </c>
      <c r="C29" s="39">
        <v>53</v>
      </c>
      <c r="D29" s="39">
        <v>50</v>
      </c>
      <c r="E29" s="39">
        <v>46</v>
      </c>
      <c r="F29" s="39">
        <v>43</v>
      </c>
      <c r="G29" s="40">
        <v>64</v>
      </c>
    </row>
    <row r="30" spans="1:7" x14ac:dyDescent="0.25">
      <c r="A30" s="12">
        <v>45016</v>
      </c>
      <c r="B30" s="39">
        <v>61</v>
      </c>
      <c r="C30" s="39">
        <v>56</v>
      </c>
      <c r="D30" s="39">
        <v>53</v>
      </c>
      <c r="E30" s="39">
        <v>49</v>
      </c>
      <c r="F30" s="39">
        <v>46</v>
      </c>
      <c r="G30" s="40">
        <v>64</v>
      </c>
    </row>
    <row r="31" spans="1:7" x14ac:dyDescent="0.25">
      <c r="A31" s="12">
        <v>45046</v>
      </c>
      <c r="B31" s="41">
        <v>64</v>
      </c>
      <c r="C31" s="39">
        <v>60</v>
      </c>
      <c r="D31" s="39">
        <v>56</v>
      </c>
      <c r="E31" s="39">
        <v>52</v>
      </c>
      <c r="F31" s="39">
        <v>49</v>
      </c>
      <c r="G31" s="40">
        <v>64</v>
      </c>
    </row>
    <row r="32" spans="1:7" x14ac:dyDescent="0.25">
      <c r="A32" s="12">
        <v>45077</v>
      </c>
      <c r="B32" s="39">
        <v>68</v>
      </c>
      <c r="C32" s="41">
        <v>64</v>
      </c>
      <c r="D32" s="39">
        <v>60</v>
      </c>
      <c r="E32" s="39">
        <v>56</v>
      </c>
      <c r="F32" s="39">
        <v>52</v>
      </c>
      <c r="G32" s="40">
        <v>64</v>
      </c>
    </row>
    <row r="33" spans="1:7" x14ac:dyDescent="0.25">
      <c r="A33" s="12">
        <v>45107</v>
      </c>
      <c r="B33" s="39">
        <v>73</v>
      </c>
      <c r="C33" s="39">
        <v>69</v>
      </c>
      <c r="D33" s="41">
        <v>64</v>
      </c>
      <c r="E33" s="39">
        <v>60</v>
      </c>
      <c r="F33" s="39">
        <v>56</v>
      </c>
      <c r="G33" s="40">
        <v>64</v>
      </c>
    </row>
    <row r="34" spans="1:7" x14ac:dyDescent="0.25">
      <c r="A34" s="12">
        <v>45138</v>
      </c>
      <c r="B34" s="39">
        <v>78</v>
      </c>
      <c r="C34" s="39">
        <v>74</v>
      </c>
      <c r="D34" s="39">
        <v>70</v>
      </c>
      <c r="E34" s="41">
        <v>64</v>
      </c>
      <c r="F34" s="39">
        <v>60</v>
      </c>
      <c r="G34" s="40">
        <v>64</v>
      </c>
    </row>
    <row r="35" spans="1:7" x14ac:dyDescent="0.25">
      <c r="A35" s="12">
        <v>45169</v>
      </c>
      <c r="B35" s="39">
        <v>83</v>
      </c>
      <c r="C35" s="39">
        <v>80</v>
      </c>
      <c r="D35" s="39">
        <v>77</v>
      </c>
      <c r="E35" s="39">
        <v>74</v>
      </c>
      <c r="F35" s="41">
        <v>64</v>
      </c>
      <c r="G35" s="40">
        <v>64</v>
      </c>
    </row>
    <row r="36" spans="1:7" x14ac:dyDescent="0.25">
      <c r="A36" s="12">
        <v>45199</v>
      </c>
      <c r="B36" s="39">
        <v>90</v>
      </c>
      <c r="C36" s="39">
        <v>88</v>
      </c>
      <c r="D36" s="39">
        <v>86</v>
      </c>
      <c r="E36" s="39">
        <v>84</v>
      </c>
      <c r="F36" s="39">
        <v>77</v>
      </c>
      <c r="G36" s="40">
        <v>64</v>
      </c>
    </row>
    <row r="37" spans="1:7" x14ac:dyDescent="0.25">
      <c r="A37" s="12">
        <v>45230</v>
      </c>
      <c r="B37" s="39">
        <v>98</v>
      </c>
      <c r="C37" s="39">
        <v>97</v>
      </c>
      <c r="D37" s="39">
        <v>96</v>
      </c>
      <c r="E37" s="39">
        <v>95</v>
      </c>
      <c r="F37" s="39">
        <v>91</v>
      </c>
      <c r="G37" s="40">
        <v>64</v>
      </c>
    </row>
    <row r="38" spans="1:7" x14ac:dyDescent="0.25">
      <c r="A38" s="12">
        <v>45260</v>
      </c>
      <c r="B38" s="39">
        <v>105</v>
      </c>
      <c r="C38" s="39">
        <v>105</v>
      </c>
      <c r="D38" s="39">
        <v>105</v>
      </c>
      <c r="E38" s="39">
        <v>105</v>
      </c>
      <c r="F38" s="39">
        <v>105</v>
      </c>
      <c r="G38" s="40">
        <v>64</v>
      </c>
    </row>
    <row r="39" spans="1:7" x14ac:dyDescent="0.25">
      <c r="A39" s="12">
        <v>45291</v>
      </c>
      <c r="B39" s="39">
        <v>112</v>
      </c>
      <c r="C39" s="39">
        <v>112</v>
      </c>
      <c r="D39" s="39">
        <v>112</v>
      </c>
      <c r="E39" s="39">
        <v>112</v>
      </c>
      <c r="F39" s="39">
        <v>112</v>
      </c>
      <c r="G39" s="40">
        <v>64</v>
      </c>
    </row>
    <row r="40" spans="1:7" x14ac:dyDescent="0.25">
      <c r="A40" s="12">
        <v>45322</v>
      </c>
      <c r="B40" s="39">
        <v>118</v>
      </c>
      <c r="C40" s="39">
        <v>118</v>
      </c>
      <c r="D40" s="39">
        <v>118</v>
      </c>
      <c r="E40" s="39">
        <v>118</v>
      </c>
      <c r="F40" s="39">
        <v>118</v>
      </c>
      <c r="G40" s="40">
        <v>64</v>
      </c>
    </row>
    <row r="41" spans="1:7" x14ac:dyDescent="0.25">
      <c r="A41" s="12">
        <v>45351</v>
      </c>
      <c r="B41" s="39">
        <v>123</v>
      </c>
      <c r="C41" s="39">
        <v>123</v>
      </c>
      <c r="D41" s="39">
        <v>123</v>
      </c>
      <c r="E41" s="39">
        <v>123</v>
      </c>
      <c r="F41" s="39">
        <v>123</v>
      </c>
      <c r="G41" s="40">
        <v>64</v>
      </c>
    </row>
    <row r="42" spans="1:7" x14ac:dyDescent="0.25">
      <c r="A42" s="12">
        <v>45382</v>
      </c>
      <c r="B42" s="39">
        <v>126</v>
      </c>
      <c r="C42" s="39">
        <v>126</v>
      </c>
      <c r="D42" s="39">
        <v>126</v>
      </c>
      <c r="E42" s="39">
        <v>126</v>
      </c>
      <c r="F42" s="39">
        <v>126</v>
      </c>
      <c r="G42" s="40">
        <v>64</v>
      </c>
    </row>
    <row r="43" spans="1:7" x14ac:dyDescent="0.25">
      <c r="A43" s="12">
        <v>45412</v>
      </c>
      <c r="B43" s="39">
        <v>127</v>
      </c>
      <c r="C43" s="39">
        <v>127</v>
      </c>
      <c r="D43" s="39">
        <v>127</v>
      </c>
      <c r="E43" s="39">
        <v>127</v>
      </c>
      <c r="F43" s="39">
        <v>127</v>
      </c>
      <c r="G43" s="40">
        <v>64</v>
      </c>
    </row>
    <row r="46" spans="1:7" x14ac:dyDescent="0.25">
      <c r="A46" s="31" t="s">
        <v>174</v>
      </c>
    </row>
    <row r="47" spans="1:7" x14ac:dyDescent="0.25">
      <c r="A47" s="3" t="s">
        <v>175</v>
      </c>
      <c r="B47" s="3" t="s">
        <v>176</v>
      </c>
      <c r="C47" s="3" t="s">
        <v>177</v>
      </c>
      <c r="D47" s="3" t="s">
        <v>178</v>
      </c>
      <c r="E47" s="3" t="s">
        <v>179</v>
      </c>
    </row>
    <row r="48" spans="1:7" x14ac:dyDescent="0.25">
      <c r="A48" s="19" t="s">
        <v>168</v>
      </c>
      <c r="B48" s="20" t="s">
        <v>180</v>
      </c>
      <c r="C48" s="32">
        <v>43</v>
      </c>
      <c r="D48" s="32">
        <v>98</v>
      </c>
      <c r="E48" s="20" t="s">
        <v>181</v>
      </c>
    </row>
    <row r="49" spans="1:6" ht="25.5" x14ac:dyDescent="0.25">
      <c r="A49" s="23" t="s">
        <v>169</v>
      </c>
      <c r="B49" s="24" t="s">
        <v>182</v>
      </c>
      <c r="C49" s="42">
        <v>38</v>
      </c>
      <c r="D49" s="42">
        <v>97</v>
      </c>
      <c r="E49" s="24" t="s">
        <v>183</v>
      </c>
    </row>
    <row r="50" spans="1:6" x14ac:dyDescent="0.25">
      <c r="A50" s="19" t="s">
        <v>170</v>
      </c>
      <c r="B50" s="20" t="s">
        <v>184</v>
      </c>
      <c r="C50" s="32">
        <v>35</v>
      </c>
      <c r="D50" s="32">
        <v>96</v>
      </c>
      <c r="E50" s="20" t="s">
        <v>185</v>
      </c>
    </row>
    <row r="51" spans="1:6" x14ac:dyDescent="0.25">
      <c r="A51" s="23" t="s">
        <v>171</v>
      </c>
      <c r="B51" s="24" t="s">
        <v>186</v>
      </c>
      <c r="C51" s="42">
        <v>31</v>
      </c>
      <c r="D51" s="42">
        <v>95</v>
      </c>
      <c r="E51" s="24" t="s">
        <v>187</v>
      </c>
    </row>
    <row r="52" spans="1:6" ht="25.5" x14ac:dyDescent="0.25">
      <c r="A52" s="19" t="s">
        <v>172</v>
      </c>
      <c r="B52" s="20" t="s">
        <v>188</v>
      </c>
      <c r="C52" s="32">
        <v>28</v>
      </c>
      <c r="D52" s="32">
        <v>91</v>
      </c>
      <c r="E52" s="20" t="s">
        <v>189</v>
      </c>
    </row>
    <row r="53" spans="1:6" ht="216" x14ac:dyDescent="0.25">
      <c r="A53" s="18" t="s">
        <v>190</v>
      </c>
    </row>
    <row r="56" spans="1:6" x14ac:dyDescent="0.25">
      <c r="A56" s="31" t="s">
        <v>191</v>
      </c>
    </row>
    <row r="57" spans="1:6" ht="372" x14ac:dyDescent="0.25">
      <c r="A57" s="18" t="s">
        <v>192</v>
      </c>
    </row>
    <row r="58" spans="1:6" x14ac:dyDescent="0.25">
      <c r="A58" s="3" t="s">
        <v>2</v>
      </c>
      <c r="B58" s="3" t="s">
        <v>168</v>
      </c>
      <c r="C58" s="3" t="s">
        <v>169</v>
      </c>
      <c r="D58" s="3" t="s">
        <v>170</v>
      </c>
      <c r="E58" s="3" t="s">
        <v>171</v>
      </c>
      <c r="F58" s="3" t="s">
        <v>172</v>
      </c>
    </row>
    <row r="59" spans="1:6" x14ac:dyDescent="0.25">
      <c r="A59" s="12">
        <v>44255</v>
      </c>
      <c r="B59" s="32">
        <f>B5</f>
        <v>1</v>
      </c>
      <c r="C59" s="32">
        <f>C5</f>
        <v>1</v>
      </c>
      <c r="D59" s="32">
        <f>D5</f>
        <v>1</v>
      </c>
      <c r="E59" s="32">
        <f>E5</f>
        <v>1</v>
      </c>
      <c r="F59" s="32">
        <f>F5</f>
        <v>1</v>
      </c>
    </row>
    <row r="60" spans="1:6" x14ac:dyDescent="0.25">
      <c r="A60" s="12">
        <v>44286</v>
      </c>
      <c r="B60" s="32">
        <f t="shared" ref="B60:F69" si="0">B6-B5</f>
        <v>1</v>
      </c>
      <c r="C60" s="32">
        <f t="shared" si="0"/>
        <v>0</v>
      </c>
      <c r="D60" s="32">
        <f t="shared" si="0"/>
        <v>0</v>
      </c>
      <c r="E60" s="32">
        <f t="shared" si="0"/>
        <v>0</v>
      </c>
      <c r="F60" s="32">
        <f t="shared" si="0"/>
        <v>0</v>
      </c>
    </row>
    <row r="61" spans="1:6" x14ac:dyDescent="0.25">
      <c r="A61" s="12">
        <v>44316</v>
      </c>
      <c r="B61" s="32">
        <f t="shared" si="0"/>
        <v>1</v>
      </c>
      <c r="C61" s="32">
        <f t="shared" si="0"/>
        <v>1</v>
      </c>
      <c r="D61" s="32">
        <f t="shared" si="0"/>
        <v>0</v>
      </c>
      <c r="E61" s="32">
        <f t="shared" si="0"/>
        <v>0</v>
      </c>
      <c r="F61" s="32">
        <f t="shared" si="0"/>
        <v>0</v>
      </c>
    </row>
    <row r="62" spans="1:6" x14ac:dyDescent="0.25">
      <c r="A62" s="12">
        <v>44347</v>
      </c>
      <c r="B62" s="32">
        <f t="shared" si="0"/>
        <v>1</v>
      </c>
      <c r="C62" s="32">
        <f t="shared" si="0"/>
        <v>1</v>
      </c>
      <c r="D62" s="32">
        <f t="shared" si="0"/>
        <v>1</v>
      </c>
      <c r="E62" s="32">
        <f t="shared" si="0"/>
        <v>1</v>
      </c>
      <c r="F62" s="32">
        <f t="shared" si="0"/>
        <v>1</v>
      </c>
    </row>
    <row r="63" spans="1:6" x14ac:dyDescent="0.25">
      <c r="A63" s="12">
        <v>44377</v>
      </c>
      <c r="B63" s="32">
        <f t="shared" si="0"/>
        <v>1</v>
      </c>
      <c r="C63" s="32">
        <f t="shared" si="0"/>
        <v>1</v>
      </c>
      <c r="D63" s="32">
        <f t="shared" si="0"/>
        <v>1</v>
      </c>
      <c r="E63" s="32">
        <f t="shared" si="0"/>
        <v>1</v>
      </c>
      <c r="F63" s="32">
        <f t="shared" si="0"/>
        <v>1</v>
      </c>
    </row>
    <row r="64" spans="1:6" x14ac:dyDescent="0.25">
      <c r="A64" s="12">
        <v>44408</v>
      </c>
      <c r="B64" s="32">
        <f t="shared" si="0"/>
        <v>1</v>
      </c>
      <c r="C64" s="32">
        <f t="shared" si="0"/>
        <v>1</v>
      </c>
      <c r="D64" s="32">
        <f t="shared" si="0"/>
        <v>1</v>
      </c>
      <c r="E64" s="32">
        <f t="shared" si="0"/>
        <v>1</v>
      </c>
      <c r="F64" s="32">
        <f t="shared" si="0"/>
        <v>1</v>
      </c>
    </row>
    <row r="65" spans="1:6" x14ac:dyDescent="0.25">
      <c r="A65" s="12">
        <v>44439</v>
      </c>
      <c r="B65" s="32">
        <f t="shared" si="0"/>
        <v>1</v>
      </c>
      <c r="C65" s="32">
        <f t="shared" si="0"/>
        <v>1</v>
      </c>
      <c r="D65" s="32">
        <f t="shared" si="0"/>
        <v>1</v>
      </c>
      <c r="E65" s="32">
        <f t="shared" si="0"/>
        <v>1</v>
      </c>
      <c r="F65" s="32">
        <f t="shared" si="0"/>
        <v>1</v>
      </c>
    </row>
    <row r="66" spans="1:6" x14ac:dyDescent="0.25">
      <c r="A66" s="12">
        <v>44469</v>
      </c>
      <c r="B66" s="32">
        <f t="shared" si="0"/>
        <v>1</v>
      </c>
      <c r="C66" s="32">
        <f t="shared" si="0"/>
        <v>1</v>
      </c>
      <c r="D66" s="32">
        <f t="shared" si="0"/>
        <v>1</v>
      </c>
      <c r="E66" s="32">
        <f t="shared" si="0"/>
        <v>1</v>
      </c>
      <c r="F66" s="32">
        <f t="shared" si="0"/>
        <v>1</v>
      </c>
    </row>
    <row r="67" spans="1:6" x14ac:dyDescent="0.25">
      <c r="A67" s="12">
        <v>44500</v>
      </c>
      <c r="B67" s="32">
        <f t="shared" si="0"/>
        <v>2</v>
      </c>
      <c r="C67" s="32">
        <f t="shared" si="0"/>
        <v>1</v>
      </c>
      <c r="D67" s="32">
        <f t="shared" si="0"/>
        <v>1</v>
      </c>
      <c r="E67" s="32">
        <f t="shared" si="0"/>
        <v>1</v>
      </c>
      <c r="F67" s="32">
        <f t="shared" si="0"/>
        <v>1</v>
      </c>
    </row>
    <row r="68" spans="1:6" x14ac:dyDescent="0.25">
      <c r="A68" s="12">
        <v>44530</v>
      </c>
      <c r="B68" s="32">
        <f t="shared" si="0"/>
        <v>2</v>
      </c>
      <c r="C68" s="32">
        <f t="shared" si="0"/>
        <v>2</v>
      </c>
      <c r="D68" s="32">
        <f t="shared" si="0"/>
        <v>2</v>
      </c>
      <c r="E68" s="32">
        <f t="shared" si="0"/>
        <v>1</v>
      </c>
      <c r="F68" s="32">
        <f t="shared" si="0"/>
        <v>1</v>
      </c>
    </row>
    <row r="69" spans="1:6" x14ac:dyDescent="0.25">
      <c r="A69" s="12">
        <v>44561</v>
      </c>
      <c r="B69" s="32">
        <f t="shared" si="0"/>
        <v>2</v>
      </c>
      <c r="C69" s="32">
        <f t="shared" si="0"/>
        <v>2</v>
      </c>
      <c r="D69" s="32">
        <f t="shared" si="0"/>
        <v>2</v>
      </c>
      <c r="E69" s="32">
        <f t="shared" si="0"/>
        <v>1</v>
      </c>
      <c r="F69" s="32">
        <f t="shared" si="0"/>
        <v>1</v>
      </c>
    </row>
    <row r="70" spans="1:6" x14ac:dyDescent="0.25">
      <c r="A70" s="12">
        <v>44592</v>
      </c>
      <c r="B70" s="32">
        <f t="shared" ref="B70:F79" si="1">B16-B15</f>
        <v>2</v>
      </c>
      <c r="C70" s="32">
        <f t="shared" si="1"/>
        <v>2</v>
      </c>
      <c r="D70" s="32">
        <f t="shared" si="1"/>
        <v>2</v>
      </c>
      <c r="E70" s="32">
        <f t="shared" si="1"/>
        <v>2</v>
      </c>
      <c r="F70" s="32">
        <f t="shared" si="1"/>
        <v>1</v>
      </c>
    </row>
    <row r="71" spans="1:6" x14ac:dyDescent="0.25">
      <c r="A71" s="12">
        <v>44620</v>
      </c>
      <c r="B71" s="32">
        <f t="shared" si="1"/>
        <v>2</v>
      </c>
      <c r="C71" s="32">
        <f t="shared" si="1"/>
        <v>2</v>
      </c>
      <c r="D71" s="32">
        <f t="shared" si="1"/>
        <v>2</v>
      </c>
      <c r="E71" s="32">
        <f t="shared" si="1"/>
        <v>2</v>
      </c>
      <c r="F71" s="32">
        <f t="shared" si="1"/>
        <v>2</v>
      </c>
    </row>
    <row r="72" spans="1:6" x14ac:dyDescent="0.25">
      <c r="A72" s="12">
        <v>44651</v>
      </c>
      <c r="B72" s="32">
        <f t="shared" si="1"/>
        <v>3</v>
      </c>
      <c r="C72" s="32">
        <f t="shared" si="1"/>
        <v>3</v>
      </c>
      <c r="D72" s="32">
        <f t="shared" si="1"/>
        <v>2</v>
      </c>
      <c r="E72" s="32">
        <f t="shared" si="1"/>
        <v>2</v>
      </c>
      <c r="F72" s="32">
        <f t="shared" si="1"/>
        <v>2</v>
      </c>
    </row>
    <row r="73" spans="1:6" x14ac:dyDescent="0.25">
      <c r="A73" s="12">
        <v>44681</v>
      </c>
      <c r="B73" s="32">
        <f t="shared" si="1"/>
        <v>3</v>
      </c>
      <c r="C73" s="32">
        <f t="shared" si="1"/>
        <v>3</v>
      </c>
      <c r="D73" s="32">
        <f t="shared" si="1"/>
        <v>3</v>
      </c>
      <c r="E73" s="32">
        <f t="shared" si="1"/>
        <v>2</v>
      </c>
      <c r="F73" s="32">
        <f t="shared" si="1"/>
        <v>2</v>
      </c>
    </row>
    <row r="74" spans="1:6" x14ac:dyDescent="0.25">
      <c r="A74" s="12">
        <v>44712</v>
      </c>
      <c r="B74" s="32">
        <f t="shared" si="1"/>
        <v>3</v>
      </c>
      <c r="C74" s="32">
        <f t="shared" si="1"/>
        <v>3</v>
      </c>
      <c r="D74" s="32">
        <f t="shared" si="1"/>
        <v>3</v>
      </c>
      <c r="E74" s="32">
        <f t="shared" si="1"/>
        <v>2</v>
      </c>
      <c r="F74" s="32">
        <f t="shared" si="1"/>
        <v>2</v>
      </c>
    </row>
    <row r="75" spans="1:6" x14ac:dyDescent="0.25">
      <c r="A75" s="12">
        <v>44742</v>
      </c>
      <c r="B75" s="32">
        <f t="shared" si="1"/>
        <v>4</v>
      </c>
      <c r="C75" s="32">
        <f t="shared" si="1"/>
        <v>3</v>
      </c>
      <c r="D75" s="32">
        <f t="shared" si="1"/>
        <v>3</v>
      </c>
      <c r="E75" s="32">
        <f t="shared" si="1"/>
        <v>3</v>
      </c>
      <c r="F75" s="32">
        <f t="shared" si="1"/>
        <v>2</v>
      </c>
    </row>
    <row r="76" spans="1:6" x14ac:dyDescent="0.25">
      <c r="A76" s="12">
        <v>44773</v>
      </c>
      <c r="B76" s="32">
        <f t="shared" si="1"/>
        <v>4</v>
      </c>
      <c r="C76" s="32">
        <f t="shared" si="1"/>
        <v>3</v>
      </c>
      <c r="D76" s="32">
        <f t="shared" si="1"/>
        <v>3</v>
      </c>
      <c r="E76" s="32">
        <f t="shared" si="1"/>
        <v>3</v>
      </c>
      <c r="F76" s="32">
        <f t="shared" si="1"/>
        <v>2</v>
      </c>
    </row>
    <row r="77" spans="1:6" x14ac:dyDescent="0.25">
      <c r="A77" s="12">
        <v>44804</v>
      </c>
      <c r="B77" s="32">
        <f t="shared" si="1"/>
        <v>4</v>
      </c>
      <c r="C77" s="32">
        <f t="shared" si="1"/>
        <v>3</v>
      </c>
      <c r="D77" s="32">
        <f t="shared" si="1"/>
        <v>3</v>
      </c>
      <c r="E77" s="32">
        <f t="shared" si="1"/>
        <v>3</v>
      </c>
      <c r="F77" s="32">
        <f t="shared" si="1"/>
        <v>3</v>
      </c>
    </row>
    <row r="78" spans="1:6" x14ac:dyDescent="0.25">
      <c r="A78" s="12">
        <v>44834</v>
      </c>
      <c r="B78" s="32">
        <f t="shared" si="1"/>
        <v>4</v>
      </c>
      <c r="C78" s="32">
        <f t="shared" si="1"/>
        <v>4</v>
      </c>
      <c r="D78" s="32">
        <f t="shared" si="1"/>
        <v>3</v>
      </c>
      <c r="E78" s="32">
        <f t="shared" si="1"/>
        <v>3</v>
      </c>
      <c r="F78" s="32">
        <f t="shared" si="1"/>
        <v>3</v>
      </c>
    </row>
    <row r="79" spans="1:6" x14ac:dyDescent="0.25">
      <c r="A79" s="12">
        <v>44865</v>
      </c>
      <c r="B79" s="32">
        <f t="shared" si="1"/>
        <v>4</v>
      </c>
      <c r="C79" s="32">
        <f t="shared" si="1"/>
        <v>4</v>
      </c>
      <c r="D79" s="32">
        <f t="shared" si="1"/>
        <v>4</v>
      </c>
      <c r="E79" s="32">
        <f t="shared" si="1"/>
        <v>4</v>
      </c>
      <c r="F79" s="32">
        <f t="shared" si="1"/>
        <v>4</v>
      </c>
    </row>
    <row r="80" spans="1:6" x14ac:dyDescent="0.25">
      <c r="A80" s="12">
        <v>44895</v>
      </c>
      <c r="B80" s="32">
        <f t="shared" ref="B80:F89" si="2">B26-B25</f>
        <v>4</v>
      </c>
      <c r="C80" s="32">
        <f t="shared" si="2"/>
        <v>4</v>
      </c>
      <c r="D80" s="32">
        <f t="shared" si="2"/>
        <v>4</v>
      </c>
      <c r="E80" s="32">
        <f t="shared" si="2"/>
        <v>4</v>
      </c>
      <c r="F80" s="32">
        <f t="shared" si="2"/>
        <v>4</v>
      </c>
    </row>
    <row r="81" spans="1:6" x14ac:dyDescent="0.25">
      <c r="A81" s="12">
        <v>44926</v>
      </c>
      <c r="B81" s="32">
        <f t="shared" si="2"/>
        <v>2</v>
      </c>
      <c r="C81" s="32">
        <f t="shared" si="2"/>
        <v>2</v>
      </c>
      <c r="D81" s="32">
        <f t="shared" si="2"/>
        <v>2</v>
      </c>
      <c r="E81" s="32">
        <f t="shared" si="2"/>
        <v>2</v>
      </c>
      <c r="F81" s="32">
        <f t="shared" si="2"/>
        <v>2</v>
      </c>
    </row>
    <row r="82" spans="1:6" x14ac:dyDescent="0.25">
      <c r="A82" s="12">
        <v>44957</v>
      </c>
      <c r="B82" s="32">
        <f t="shared" si="2"/>
        <v>2</v>
      </c>
      <c r="C82" s="32">
        <f t="shared" si="2"/>
        <v>2</v>
      </c>
      <c r="D82" s="32">
        <f t="shared" si="2"/>
        <v>2</v>
      </c>
      <c r="E82" s="32">
        <f t="shared" si="2"/>
        <v>2</v>
      </c>
      <c r="F82" s="32">
        <f t="shared" si="2"/>
        <v>2</v>
      </c>
    </row>
    <row r="83" spans="1:6" x14ac:dyDescent="0.25">
      <c r="A83" s="12">
        <v>44985</v>
      </c>
      <c r="B83" s="32">
        <f t="shared" si="2"/>
        <v>3</v>
      </c>
      <c r="C83" s="32">
        <f t="shared" si="2"/>
        <v>3</v>
      </c>
      <c r="D83" s="32">
        <f t="shared" si="2"/>
        <v>3</v>
      </c>
      <c r="E83" s="32">
        <f t="shared" si="2"/>
        <v>3</v>
      </c>
      <c r="F83" s="32">
        <f t="shared" si="2"/>
        <v>3</v>
      </c>
    </row>
    <row r="84" spans="1:6" x14ac:dyDescent="0.25">
      <c r="A84" s="12">
        <v>45016</v>
      </c>
      <c r="B84" s="32">
        <f t="shared" si="2"/>
        <v>3</v>
      </c>
      <c r="C84" s="32">
        <f t="shared" si="2"/>
        <v>3</v>
      </c>
      <c r="D84" s="32">
        <f t="shared" si="2"/>
        <v>3</v>
      </c>
      <c r="E84" s="32">
        <f t="shared" si="2"/>
        <v>3</v>
      </c>
      <c r="F84" s="32">
        <f t="shared" si="2"/>
        <v>3</v>
      </c>
    </row>
    <row r="85" spans="1:6" x14ac:dyDescent="0.25">
      <c r="A85" s="12">
        <v>45046</v>
      </c>
      <c r="B85" s="32">
        <f t="shared" si="2"/>
        <v>3</v>
      </c>
      <c r="C85" s="32">
        <f t="shared" si="2"/>
        <v>4</v>
      </c>
      <c r="D85" s="32">
        <f t="shared" si="2"/>
        <v>3</v>
      </c>
      <c r="E85" s="32">
        <f t="shared" si="2"/>
        <v>3</v>
      </c>
      <c r="F85" s="32">
        <f t="shared" si="2"/>
        <v>3</v>
      </c>
    </row>
    <row r="86" spans="1:6" x14ac:dyDescent="0.25">
      <c r="A86" s="12">
        <v>45077</v>
      </c>
      <c r="B86" s="32">
        <f t="shared" si="2"/>
        <v>4</v>
      </c>
      <c r="C86" s="32">
        <f t="shared" si="2"/>
        <v>4</v>
      </c>
      <c r="D86" s="32">
        <f t="shared" si="2"/>
        <v>4</v>
      </c>
      <c r="E86" s="32">
        <f t="shared" si="2"/>
        <v>4</v>
      </c>
      <c r="F86" s="32">
        <f t="shared" si="2"/>
        <v>3</v>
      </c>
    </row>
    <row r="87" spans="1:6" x14ac:dyDescent="0.25">
      <c r="A87" s="12">
        <v>45107</v>
      </c>
      <c r="B87" s="32">
        <f t="shared" si="2"/>
        <v>5</v>
      </c>
      <c r="C87" s="32">
        <f t="shared" si="2"/>
        <v>5</v>
      </c>
      <c r="D87" s="32">
        <f t="shared" si="2"/>
        <v>4</v>
      </c>
      <c r="E87" s="32">
        <f t="shared" si="2"/>
        <v>4</v>
      </c>
      <c r="F87" s="32">
        <f t="shared" si="2"/>
        <v>4</v>
      </c>
    </row>
    <row r="88" spans="1:6" x14ac:dyDescent="0.25">
      <c r="A88" s="12">
        <v>45138</v>
      </c>
      <c r="B88" s="32">
        <f t="shared" si="2"/>
        <v>5</v>
      </c>
      <c r="C88" s="32">
        <f t="shared" si="2"/>
        <v>5</v>
      </c>
      <c r="D88" s="32">
        <f t="shared" si="2"/>
        <v>6</v>
      </c>
      <c r="E88" s="32">
        <f t="shared" si="2"/>
        <v>4</v>
      </c>
      <c r="F88" s="32">
        <f t="shared" si="2"/>
        <v>4</v>
      </c>
    </row>
    <row r="89" spans="1:6" x14ac:dyDescent="0.25">
      <c r="A89" s="12">
        <v>45169</v>
      </c>
      <c r="B89" s="32">
        <f t="shared" si="2"/>
        <v>5</v>
      </c>
      <c r="C89" s="32">
        <f t="shared" si="2"/>
        <v>6</v>
      </c>
      <c r="D89" s="32">
        <f t="shared" si="2"/>
        <v>7</v>
      </c>
      <c r="E89" s="32">
        <f t="shared" si="2"/>
        <v>10</v>
      </c>
      <c r="F89" s="32">
        <f t="shared" si="2"/>
        <v>4</v>
      </c>
    </row>
    <row r="90" spans="1:6" x14ac:dyDescent="0.25">
      <c r="A90" s="12">
        <v>45199</v>
      </c>
      <c r="B90" s="32">
        <f t="shared" ref="B90:F97" si="3">B36-B35</f>
        <v>7</v>
      </c>
      <c r="C90" s="32">
        <f t="shared" si="3"/>
        <v>8</v>
      </c>
      <c r="D90" s="32">
        <f t="shared" si="3"/>
        <v>9</v>
      </c>
      <c r="E90" s="32">
        <f t="shared" si="3"/>
        <v>10</v>
      </c>
      <c r="F90" s="32">
        <f t="shared" si="3"/>
        <v>13</v>
      </c>
    </row>
    <row r="91" spans="1:6" x14ac:dyDescent="0.25">
      <c r="A91" s="12">
        <v>45230</v>
      </c>
      <c r="B91" s="32">
        <f t="shared" si="3"/>
        <v>8</v>
      </c>
      <c r="C91" s="32">
        <f t="shared" si="3"/>
        <v>9</v>
      </c>
      <c r="D91" s="32">
        <f t="shared" si="3"/>
        <v>10</v>
      </c>
      <c r="E91" s="32">
        <f t="shared" si="3"/>
        <v>11</v>
      </c>
      <c r="F91" s="32">
        <f t="shared" si="3"/>
        <v>14</v>
      </c>
    </row>
    <row r="92" spans="1:6" x14ac:dyDescent="0.25">
      <c r="A92" s="12">
        <v>45260</v>
      </c>
      <c r="B92" s="32">
        <f t="shared" si="3"/>
        <v>7</v>
      </c>
      <c r="C92" s="32">
        <f t="shared" si="3"/>
        <v>8</v>
      </c>
      <c r="D92" s="32">
        <f t="shared" si="3"/>
        <v>9</v>
      </c>
      <c r="E92" s="32">
        <f t="shared" si="3"/>
        <v>10</v>
      </c>
      <c r="F92" s="32">
        <f t="shared" si="3"/>
        <v>14</v>
      </c>
    </row>
    <row r="93" spans="1:6" x14ac:dyDescent="0.25">
      <c r="A93" s="12">
        <v>45291</v>
      </c>
      <c r="B93" s="32">
        <f t="shared" si="3"/>
        <v>7</v>
      </c>
      <c r="C93" s="32">
        <f t="shared" si="3"/>
        <v>7</v>
      </c>
      <c r="D93" s="32">
        <f t="shared" si="3"/>
        <v>7</v>
      </c>
      <c r="E93" s="32">
        <f t="shared" si="3"/>
        <v>7</v>
      </c>
      <c r="F93" s="32">
        <f t="shared" si="3"/>
        <v>7</v>
      </c>
    </row>
    <row r="94" spans="1:6" x14ac:dyDescent="0.25">
      <c r="A94" s="12">
        <v>45322</v>
      </c>
      <c r="B94" s="32">
        <f t="shared" si="3"/>
        <v>6</v>
      </c>
      <c r="C94" s="32">
        <f t="shared" si="3"/>
        <v>6</v>
      </c>
      <c r="D94" s="32">
        <f t="shared" si="3"/>
        <v>6</v>
      </c>
      <c r="E94" s="32">
        <f t="shared" si="3"/>
        <v>6</v>
      </c>
      <c r="F94" s="32">
        <f t="shared" si="3"/>
        <v>6</v>
      </c>
    </row>
    <row r="95" spans="1:6" x14ac:dyDescent="0.25">
      <c r="A95" s="12">
        <v>45351</v>
      </c>
      <c r="B95" s="32">
        <f t="shared" si="3"/>
        <v>5</v>
      </c>
      <c r="C95" s="32">
        <f t="shared" si="3"/>
        <v>5</v>
      </c>
      <c r="D95" s="32">
        <f t="shared" si="3"/>
        <v>5</v>
      </c>
      <c r="E95" s="32">
        <f t="shared" si="3"/>
        <v>5</v>
      </c>
      <c r="F95" s="32">
        <f t="shared" si="3"/>
        <v>5</v>
      </c>
    </row>
    <row r="96" spans="1:6" x14ac:dyDescent="0.25">
      <c r="A96" s="12">
        <v>45382</v>
      </c>
      <c r="B96" s="32">
        <f t="shared" si="3"/>
        <v>3</v>
      </c>
      <c r="C96" s="32">
        <f t="shared" si="3"/>
        <v>3</v>
      </c>
      <c r="D96" s="32">
        <f t="shared" si="3"/>
        <v>3</v>
      </c>
      <c r="E96" s="32">
        <f t="shared" si="3"/>
        <v>3</v>
      </c>
      <c r="F96" s="32">
        <f t="shared" si="3"/>
        <v>3</v>
      </c>
    </row>
    <row r="97" spans="1:6" x14ac:dyDescent="0.25">
      <c r="A97" s="12">
        <v>45412</v>
      </c>
      <c r="B97" s="32">
        <f t="shared" si="3"/>
        <v>1</v>
      </c>
      <c r="C97" s="32">
        <f t="shared" si="3"/>
        <v>1</v>
      </c>
      <c r="D97" s="32">
        <f t="shared" si="3"/>
        <v>1</v>
      </c>
      <c r="E97" s="32">
        <f t="shared" si="3"/>
        <v>1</v>
      </c>
      <c r="F97" s="32">
        <f t="shared" si="3"/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Enrollment Curve</vt:lpstr>
      <vt:lpstr>Country Allocation</vt:lpstr>
      <vt:lpstr>Constraint Map</vt:lpstr>
      <vt:lpstr>Assumptions &amp; Levers</vt:lpstr>
      <vt:lpstr>Median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Kenan Gursel</cp:lastModifiedBy>
  <cp:revision>1</cp:revision>
  <dcterms:created xsi:type="dcterms:W3CDTF">2026-06-13T03:15:24Z</dcterms:created>
  <dcterms:modified xsi:type="dcterms:W3CDTF">2026-07-01T21:21:36Z</dcterms:modified>
  <dc:language>en-US</dc:language>
</cp:coreProperties>
</file>